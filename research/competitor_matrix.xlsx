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mpetitor Matrix" sheetId="2" state="visible" r:id="rId2"/>
    <sheet xmlns:r="http://schemas.openxmlformats.org/officeDocument/2006/relationships" name="Sources &amp; Caveats" sheetId="3" state="visible" r:id="rId3"/>
    <sheet xmlns:r="http://schemas.openxmlformats.org/officeDocument/2006/relationships" name="Insight Ledger" sheetId="4" state="visible" r:id="rId4"/>
    <sheet xmlns:r="http://schemas.openxmlformats.org/officeDocument/2006/relationships" name="GTM Experiments" sheetId="5" state="visible" r:id="rId5"/>
    <sheet xmlns:r="http://schemas.openxmlformats.org/officeDocument/2006/relationships" name="Build Log" sheetId="6" state="visible" r:id="rId6"/>
  </sheets>
  <definedNames>
    <definedName name="_xlnm._FilterDatabase" localSheetId="1" hidden="1">'Competitor Matrix'!$A$3:$T$8</definedName>
    <definedName name="_xlnm._FilterDatabase" localSheetId="2" hidden="1">'Sources &amp; Caveats'!$A$3:$K$28</definedName>
    <definedName name="_xlnm._FilterDatabase" localSheetId="3" hidden="1">'Insight Ledger'!$A$3:$J$8</definedName>
    <definedName name="_xlnm._FilterDatabase" localSheetId="4" hidden="1">'GTM Experiments'!$A$3:$M$8</definedName>
    <definedName name="_xlnm._FilterDatabase" localSheetId="5" hidden="1">'Build Log'!$A$3:$H$11</definedName>
  </definedNames>
  <calcPr calcId="124519" fullCalcOnLoad="1"/>
</workbook>
</file>

<file path=xl/styles.xml><?xml version="1.0" encoding="utf-8"?>
<styleSheet xmlns="http://schemas.openxmlformats.org/spreadsheetml/2006/main">
  <numFmts count="2">
    <numFmt numFmtId="164" formatCode="[$₹-4009]#,##0"/>
    <numFmt numFmtId="165" formatCode="0.0"/>
  </numFmts>
  <fonts count="9">
    <font>
      <name val="Calibri"/>
      <family val="2"/>
      <color theme="1"/>
      <sz val="11"/>
      <scheme val="minor"/>
    </font>
    <font>
      <name val="Calibri"/>
      <b val="1"/>
      <color rgb="001E293B"/>
      <sz val="16"/>
    </font>
    <font>
      <name val="Calibri"/>
      <i val="1"/>
      <color rgb="00475569"/>
      <sz val="11"/>
    </font>
    <font>
      <name val="Calibri"/>
      <b val="1"/>
      <color rgb="000F172A"/>
      <sz val="13"/>
    </font>
    <font>
      <name val="Calibri"/>
      <b val="1"/>
      <color rgb="00FFFFFF"/>
      <sz val="11"/>
    </font>
    <font>
      <name val="Calibri"/>
      <b val="1"/>
      <color rgb="000F172A"/>
      <sz val="10"/>
    </font>
    <font>
      <name val="Calibri"/>
      <b val="1"/>
      <color rgb="001E40AF"/>
      <sz val="14"/>
    </font>
    <font>
      <name val="Calibri"/>
      <color rgb="000F172A"/>
      <sz val="10"/>
    </font>
    <font>
      <name val="Calibri"/>
      <color rgb="002563EB"/>
      <sz val="10"/>
      <u val="single"/>
    </font>
  </fonts>
  <fills count="7">
    <fill>
      <patternFill/>
    </fill>
    <fill>
      <patternFill patternType="gray125"/>
    </fill>
    <fill>
      <patternFill patternType="solid">
        <fgColor rgb="001D4ED8"/>
        <bgColor rgb="001D4ED8"/>
      </patternFill>
    </fill>
    <fill>
      <patternFill patternType="solid">
        <fgColor rgb="00F1F5F9"/>
        <bgColor rgb="00F1F5F9"/>
      </patternFill>
    </fill>
    <fill>
      <patternFill patternType="solid">
        <fgColor rgb="001E293B"/>
        <bgColor rgb="001E293B"/>
      </patternFill>
    </fill>
    <fill>
      <patternFill patternType="solid">
        <fgColor rgb="00F8FAFC"/>
        <bgColor rgb="00F8FAFC"/>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xf>
    <xf numFmtId="0" fontId="5" fillId="3" borderId="1" pivotButton="0" quotePrefix="0" xfId="0"/>
    <xf numFmtId="1" fontId="6" fillId="0" borderId="1" applyAlignment="1" pivotButton="0" quotePrefix="0" xfId="0">
      <alignment horizontal="right" vertical="center"/>
    </xf>
    <xf numFmtId="0" fontId="7" fillId="0" borderId="1" pivotButton="0" quotePrefix="0" xfId="0"/>
    <xf numFmtId="164" fontId="6" fillId="0" borderId="1" applyAlignment="1" pivotButton="0" quotePrefix="0" xfId="0">
      <alignment horizontal="right" vertical="center"/>
    </xf>
    <xf numFmtId="165" fontId="6" fillId="0" borderId="1" applyAlignment="1" pivotButton="0" quotePrefix="0" xfId="0">
      <alignment horizontal="right" vertical="center"/>
    </xf>
    <xf numFmtId="0" fontId="7" fillId="0" borderId="0" pivotButton="0" quotePrefix="0" xfId="0"/>
    <xf numFmtId="0" fontId="4" fillId="4" borderId="1" applyAlignment="1" pivotButton="0" quotePrefix="0" xfId="0">
      <alignment horizontal="center" vertical="center"/>
    </xf>
    <xf numFmtId="0" fontId="7" fillId="5" borderId="1" applyAlignment="1" pivotButton="0" quotePrefix="0" xfId="0">
      <alignment horizontal="left" vertical="top" wrapText="1"/>
    </xf>
    <xf numFmtId="0" fontId="8" fillId="5" borderId="1" applyAlignment="1" pivotButton="0" quotePrefix="0" xfId="0">
      <alignment horizontal="center" vertical="center"/>
    </xf>
    <xf numFmtId="164" fontId="7" fillId="5" borderId="1" applyAlignment="1" pivotButton="0" quotePrefix="0" xfId="0">
      <alignment horizontal="right" vertical="center"/>
    </xf>
    <xf numFmtId="1" fontId="7" fillId="5" borderId="1" applyAlignment="1" pivotButton="0" quotePrefix="0" xfId="0">
      <alignment horizontal="center" vertical="center"/>
    </xf>
    <xf numFmtId="0" fontId="7" fillId="0" borderId="1" applyAlignment="1" pivotButton="0" quotePrefix="0" xfId="0">
      <alignment horizontal="left" vertical="top" wrapText="1"/>
    </xf>
    <xf numFmtId="0" fontId="8" fillId="0" borderId="1" applyAlignment="1" pivotButton="0" quotePrefix="0" xfId="0">
      <alignment horizontal="center" vertical="center"/>
    </xf>
    <xf numFmtId="164" fontId="7" fillId="0" borderId="1" applyAlignment="1" pivotButton="0" quotePrefix="0" xfId="0">
      <alignment horizontal="right" vertical="center"/>
    </xf>
    <xf numFmtId="1" fontId="7" fillId="0" borderId="1" applyAlignment="1" pivotButton="0" quotePrefix="0" xfId="0">
      <alignment horizontal="center" vertical="center"/>
    </xf>
    <xf numFmtId="0" fontId="7" fillId="6" borderId="1" applyAlignment="1" pivotButton="0" quotePrefix="0" xfId="0">
      <alignment horizontal="center" vertical="center"/>
    </xf>
    <xf numFmtId="0" fontId="7" fillId="5" borderId="1" applyAlignment="1" pivotButton="0" quotePrefix="0" xfId="0">
      <alignment horizontal="center" vertical="center"/>
    </xf>
    <xf numFmtId="0" fontId="7" fillId="5" borderId="1" applyAlignment="1" pivotButton="0" quotePrefix="0" xfId="0">
      <alignment horizontal="left" vertical="center"/>
    </xf>
    <xf numFmtId="0" fontId="7" fillId="0" borderId="1" applyAlignment="1" pivotButton="0" quotePrefix="0" xfId="0">
      <alignment horizontal="center" vertical="center"/>
    </xf>
    <xf numFmtId="0" fontId="7"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upgrad.com/machine-learning-ai-pgd-iiitb/" TargetMode="External" Id="rId1"/><Relationship Type="http://schemas.openxmlformats.org/officeDocument/2006/relationships/hyperlink" Target="https://www.simplilearn.com/pgp-ai-machine-learning-certification-training-course" TargetMode="External" Id="rId2"/><Relationship Type="http://schemas.openxmlformats.org/officeDocument/2006/relationships/hyperlink" Target="https://www.mygreatlearning.com/pg-program-artificial-intelligence-course" TargetMode="External" Id="rId3"/><Relationship Type="http://schemas.openxmlformats.org/officeDocument/2006/relationships/hyperlink" Target="https://cep.iitd.ac.in" TargetMode="External" Id="rId4"/><Relationship Type="http://schemas.openxmlformats.org/officeDocument/2006/relationships/hyperlink" Target="https://www.coursera.org/degrees/pg-diploma-applied-statistics-isi" TargetMode="External" Id="rId5"/></Relationships>
</file>

<file path=xl/worksheets/_rels/sheet3.xml.rels><Relationships xmlns="http://schemas.openxmlformats.org/package/2006/relationships"><Relationship Type="http://schemas.openxmlformats.org/officeDocument/2006/relationships/hyperlink" Target="https://www.upgrad.com/machine-learning-ai-pgd-iiitb/" TargetMode="External" Id="rId1"/><Relationship Type="http://schemas.openxmlformats.org/officeDocument/2006/relationships/hyperlink" Target="https://www.upgrad.com/machine-learning-ai-pgd-iiitb/" TargetMode="External" Id="rId2"/><Relationship Type="http://schemas.openxmlformats.org/officeDocument/2006/relationships/hyperlink" Target="https://www.upgrad.com/machine-learning-ai-pgd-iiitb/" TargetMode="External" Id="rId3"/><Relationship Type="http://schemas.openxmlformats.org/officeDocument/2006/relationships/hyperlink" Target="https://www.upgrad.com/machine-learning-ai-pgd-iiitb/" TargetMode="External" Id="rId4"/><Relationship Type="http://schemas.openxmlformats.org/officeDocument/2006/relationships/hyperlink" Target="https://www.upgrad.com/machine-learning-ai-pgd-iiitb/" TargetMode="External" Id="rId5"/><Relationship Type="http://schemas.openxmlformats.org/officeDocument/2006/relationships/hyperlink" Target="https://www.upgrad.com/machine-learning-ai-pgd-iiitb/" TargetMode="External" Id="rId6"/><Relationship Type="http://schemas.openxmlformats.org/officeDocument/2006/relationships/hyperlink" Target="https://www.simplilearn.com/pgp-ai-machine-learning-certification-training-course" TargetMode="External" Id="rId7"/><Relationship Type="http://schemas.openxmlformats.org/officeDocument/2006/relationships/hyperlink" Target="https://www.simplilearn.com/pgp-ai-machine-learning-certification-training-course" TargetMode="External" Id="rId8"/><Relationship Type="http://schemas.openxmlformats.org/officeDocument/2006/relationships/hyperlink" Target="https://www.simplilearn.com/pgp-ai-machine-learning-certification-training-course" TargetMode="External" Id="rId9"/><Relationship Type="http://schemas.openxmlformats.org/officeDocument/2006/relationships/hyperlink" Target="https://www.simplilearn.com/pgp-ai-machine-learning-certification-training-course" TargetMode="External" Id="rId10"/><Relationship Type="http://schemas.openxmlformats.org/officeDocument/2006/relationships/hyperlink" Target="https://www.simplilearn.com/pgp-ai-machine-learning-certification-training-course" TargetMode="External" Id="rId11"/><Relationship Type="http://schemas.openxmlformats.org/officeDocument/2006/relationships/hyperlink" Target="https://www.mygreatlearning.com/pg-program-artificial-intelligence-course" TargetMode="External" Id="rId12"/><Relationship Type="http://schemas.openxmlformats.org/officeDocument/2006/relationships/hyperlink" Target="https://www.mygreatlearning.com/pg-program-artificial-intelligence-course" TargetMode="External" Id="rId13"/><Relationship Type="http://schemas.openxmlformats.org/officeDocument/2006/relationships/hyperlink" Target="https://www.mygreatlearning.com/pg-program-artificial-intelligence-course" TargetMode="External" Id="rId14"/><Relationship Type="http://schemas.openxmlformats.org/officeDocument/2006/relationships/hyperlink" Target="https://www.mygreatlearning.com/pg-program-artificial-intelligence-course" TargetMode="External" Id="rId15"/><Relationship Type="http://schemas.openxmlformats.org/officeDocument/2006/relationships/hyperlink" Target="https://www.mygreatlearning.com/pg-program-artificial-intelligence-course" TargetMode="External" Id="rId16"/><Relationship Type="http://schemas.openxmlformats.org/officeDocument/2006/relationships/hyperlink" Target="https://cep.iitd.ac.in" TargetMode="External" Id="rId17"/><Relationship Type="http://schemas.openxmlformats.org/officeDocument/2006/relationships/hyperlink" Target="https://cep.iitd.ac.in" TargetMode="External" Id="rId18"/><Relationship Type="http://schemas.openxmlformats.org/officeDocument/2006/relationships/hyperlink" Target="https://cep.iitd.ac.in" TargetMode="External" Id="rId19"/><Relationship Type="http://schemas.openxmlformats.org/officeDocument/2006/relationships/hyperlink" Target="https://cep.iitd.ac.in" TargetMode="External" Id="rId20"/><Relationship Type="http://schemas.openxmlformats.org/officeDocument/2006/relationships/hyperlink" Target="https://cep.iitd.ac.in" TargetMode="External" Id="rId21"/><Relationship Type="http://schemas.openxmlformats.org/officeDocument/2006/relationships/hyperlink" Target="https://www.coursera.org/degrees/pg-diploma-applied-statistics-isi" TargetMode="External" Id="rId22"/><Relationship Type="http://schemas.openxmlformats.org/officeDocument/2006/relationships/hyperlink" Target="https://www.coursera.org/degrees/pg-diploma-applied-statistics-isi" TargetMode="External" Id="rId23"/><Relationship Type="http://schemas.openxmlformats.org/officeDocument/2006/relationships/hyperlink" Target="https://www.coursera.org/degrees/pg-diploma-applied-statistics-isi" TargetMode="External" Id="rId24"/><Relationship Type="http://schemas.openxmlformats.org/officeDocument/2006/relationships/hyperlink" Target="https://www.coursera.org/degrees/pg-diploma-applied-statistics-isi" TargetMode="External" Id="rId25"/><Relationship Type="http://schemas.openxmlformats.org/officeDocument/2006/relationships/hyperlink" Target="https://www.coursera.org/degrees/pg-diploma-applied-statistics-isi" TargetMode="External" Id="rId26"/></Relationships>
</file>

<file path=xl/worksheets/sheet1.xml><?xml version="1.0" encoding="utf-8"?>
<worksheet xmlns="http://schemas.openxmlformats.org/spreadsheetml/2006/main">
  <sheetPr>
    <outlinePr summaryBelow="1" summaryRight="1"/>
    <pageSetUpPr/>
  </sheetPr>
  <dimension ref="A1:C19"/>
  <sheetViews>
    <sheetView showGridLines="1" workbookViewId="0">
      <selection activeCell="A1" sqref="A1"/>
    </sheetView>
  </sheetViews>
  <sheetFormatPr baseColWidth="8" defaultRowHeight="15"/>
  <cols>
    <col width="48" customWidth="1" min="1" max="1"/>
    <col width="48" customWidth="1" min="2" max="2"/>
    <col width="47" customWidth="1" min="3" max="3"/>
  </cols>
  <sheetData>
    <row r="1">
      <c r="A1" s="1" t="inlineStr">
        <is>
          <t>AI-Assisted Competitive Intelligence &amp; GTM Test Plan (2026)</t>
        </is>
      </c>
    </row>
    <row r="2">
      <c r="A2" s="2" t="inlineStr">
        <is>
          <t>Proof Before Purchase: Verified Research Benchmark, Pricing Disclosures &amp; Experiment Ledger</t>
        </is>
      </c>
    </row>
    <row r="3"/>
    <row r="4">
      <c r="A4" s="3" t="inlineStr">
        <is>
          <t>KEY PROGRAM BENCHMARKS &amp; SUMMARY METRICS (COMPUTED FORMULAS)</t>
        </is>
      </c>
    </row>
    <row r="5">
      <c r="A5" s="4" t="inlineStr">
        <is>
          <t>Metric Description</t>
        </is>
      </c>
      <c r="B5" s="4" t="inlineStr">
        <is>
          <t>Computed Formula / Value</t>
        </is>
      </c>
      <c r="C5" s="4" t="inlineStr">
        <is>
          <t>Notes &amp; Source Mapping</t>
        </is>
      </c>
    </row>
    <row r="6">
      <c r="A6" s="5" t="inlineStr">
        <is>
          <t>Total Verified Competitor Programs</t>
        </is>
      </c>
      <c r="B6" s="6">
        <f>COUNTA('Competitor Matrix'!B4:B8)</f>
        <v/>
      </c>
      <c r="C6" s="7" t="inlineStr">
        <is>
          <t>5 official identifiable programs</t>
        </is>
      </c>
    </row>
    <row r="7">
      <c r="A7" s="5" t="inlineStr">
        <is>
          <t>Minimum Net Program Tuition (INR)</t>
        </is>
      </c>
      <c r="B7" s="8">
        <f>MIN('Competitor Matrix'!G4:G8)</f>
        <v/>
      </c>
      <c r="C7" s="7" t="inlineStr">
        <is>
          <t>Emeritus / IIT Delhi Base Program</t>
        </is>
      </c>
    </row>
    <row r="8">
      <c r="A8" s="5" t="inlineStr">
        <is>
          <t>Maximum Realized Program Tuition (INR)</t>
        </is>
      </c>
      <c r="B8" s="8">
        <f>MAX('Competitor Matrix'!H4:H8)</f>
        <v/>
      </c>
      <c r="C8" s="7" t="inlineStr">
        <is>
          <t>Coursera / ISI Post Graduate Diploma</t>
        </is>
      </c>
    </row>
    <row r="9">
      <c r="A9" s="5" t="inlineStr">
        <is>
          <t>Average Program Tuition Across Set (INR)</t>
        </is>
      </c>
      <c r="B9" s="8">
        <f>AVERAGE('Competitor Matrix'!G4:H8)</f>
        <v/>
      </c>
      <c r="C9" s="7" t="inlineStr">
        <is>
          <t>Calculated across verified price spans</t>
        </is>
      </c>
    </row>
    <row r="10">
      <c r="A10" s="5" t="inlineStr">
        <is>
          <t>Average Course Duration (Months)</t>
        </is>
      </c>
      <c r="B10" s="9">
        <f>AVERAGE('Competitor Matrix'!K4:K8)</f>
        <v/>
      </c>
      <c r="C10" s="7" t="inlineStr">
        <is>
          <t>13.2 months nominal duration</t>
        </is>
      </c>
    </row>
    <row r="11">
      <c r="A11" s="5" t="inlineStr">
        <is>
          <t>Programs with Mandatory 18% GST Surcharge</t>
        </is>
      </c>
      <c r="B11" s="6">
        <f>COUNTIF('Competitor Matrix'!I4:I8, "*18% GST*")</f>
        <v/>
      </c>
      <c r="C11" s="7" t="inlineStr">
        <is>
          <t>3 of 5 programs exclude tax from list price</t>
        </is>
      </c>
    </row>
    <row r="12">
      <c r="A12" s="5" t="inlineStr">
        <is>
          <t>Programs with 100% Guaranteed Job Placement</t>
        </is>
      </c>
      <c r="B12" s="6">
        <f>COUNTIF('Competitor Matrix'!O4:O8, "*Guarantee*")</f>
        <v/>
      </c>
      <c r="C12" s="7" t="inlineStr">
        <is>
          <t>0 of 5 programs legally guarantee employment</t>
        </is>
      </c>
    </row>
    <row r="13"/>
    <row r="14"/>
    <row r="15">
      <c r="A15" s="3" t="inlineStr">
        <is>
          <t>RESEARCH METHODOLOGY &amp; EVIDENCE NOTICE</t>
        </is>
      </c>
    </row>
    <row r="16">
      <c r="A16" s="10" t="inlineStr">
        <is>
          <t>1. Purpose: This audit provides an objective, empirical comparison of prominent AI/Data learning programs in India.</t>
        </is>
      </c>
    </row>
    <row r="17">
      <c r="A17" s="10" t="inlineStr">
        <is>
          <t>2. Verification: All program fees, durations, and claims are grounded in official public terms as of 2026-10-22.</t>
        </is>
      </c>
    </row>
    <row r="18">
      <c r="A18" s="10" t="inlineStr">
        <is>
          <t>3. No Commercial Bias: No affiliate commissions, sponsored placements, or synthetic marketing scores are used.</t>
        </is>
      </c>
    </row>
    <row r="19">
      <c r="A19" s="10" t="inlineStr">
        <is>
          <t>4. Local Privacy: All accompanying diagnostic tools are local-only and capture zero user PII.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showGridLines="1" workbookViewId="0">
      <pane ySplit="3" topLeftCell="A4" activePane="bottomLeft" state="frozen"/>
      <selection pane="bottomLeft" activeCell="A1" sqref="A1"/>
    </sheetView>
  </sheetViews>
  <sheetFormatPr baseColWidth="8" defaultRowHeight="15"/>
  <cols>
    <col width="18" customWidth="1" min="1" max="1"/>
    <col width="48" customWidth="1" min="2" max="2"/>
    <col width="48" customWidth="1" min="3" max="3"/>
    <col width="16" customWidth="1" min="4" max="4"/>
    <col width="48" customWidth="1" min="5" max="5"/>
    <col width="34" customWidth="1" min="6" max="6"/>
    <col width="18" customWidth="1" min="7" max="7"/>
    <col width="18" customWidth="1" min="8" max="8"/>
    <col width="48" customWidth="1" min="9" max="9"/>
    <col width="48" customWidth="1" min="10" max="10"/>
    <col width="16" customWidth="1" min="11" max="11"/>
    <col width="38" customWidth="1" min="12" max="12"/>
    <col width="19" customWidth="1" min="13" max="13"/>
    <col width="19" customWidth="1" min="14" max="14"/>
    <col width="48" customWidth="1" min="15" max="15"/>
    <col width="20" customWidth="1" min="16" max="16"/>
    <col width="20" customWidth="1" min="17" max="17"/>
    <col width="48" customWidth="1" min="18" max="18"/>
    <col width="14" customWidth="1" min="19" max="19"/>
    <col width="48" customWidth="1" min="20" max="20"/>
  </cols>
  <sheetData>
    <row r="1">
      <c r="A1" s="1" t="inlineStr">
        <is>
          <t>COMPETITOR BENCHMARK MATRIX (5 IDENTIFIABLE PROGRAMS)</t>
        </is>
      </c>
    </row>
    <row r="2">
      <c r="A2" s="2" t="inlineStr">
        <is>
          <t>Audited against official terms of service and published brochures. Verified 2026-10-22.</t>
        </is>
      </c>
    </row>
    <row r="3">
      <c r="A3" s="11" t="inlineStr">
        <is>
          <t>Evidence ID</t>
        </is>
      </c>
      <c r="B3" s="11" t="inlineStr">
        <is>
          <t>Provider</t>
        </is>
      </c>
      <c r="C3" s="11" t="inlineStr">
        <is>
          <t>Exact Program Name</t>
        </is>
      </c>
      <c r="D3" s="11" t="inlineStr">
        <is>
          <t>Official URL</t>
        </is>
      </c>
      <c r="E3" s="11" t="inlineStr">
        <is>
          <t>Academic / Credential Partner</t>
        </is>
      </c>
      <c r="F3" s="11" t="inlineStr">
        <is>
          <t>Credential Category</t>
        </is>
      </c>
      <c r="G3" s="11" t="inlineStr">
        <is>
          <t>Min Price (INR)</t>
        </is>
      </c>
      <c r="H3" s="11" t="inlineStr">
        <is>
          <t>Max Price (INR)</t>
        </is>
      </c>
      <c r="I3" s="11" t="inlineStr">
        <is>
          <t>Tax &amp; Payment Caveats</t>
        </is>
      </c>
      <c r="J3" s="11" t="inlineStr">
        <is>
          <t>Financing Terms</t>
        </is>
      </c>
      <c r="K3" s="11" t="inlineStr">
        <is>
          <t>Duration (Mo)</t>
        </is>
      </c>
      <c r="L3" s="11" t="inlineStr">
        <is>
          <t>Duration Display</t>
        </is>
      </c>
      <c r="M3" s="11" t="inlineStr">
        <is>
          <t>Weekly Hours Min</t>
        </is>
      </c>
      <c r="N3" s="11" t="inlineStr">
        <is>
          <t>Weekly Hours Max</t>
        </is>
      </c>
      <c r="O3" s="11" t="inlineStr">
        <is>
          <t>Career Support Claims</t>
        </is>
      </c>
      <c r="P3" s="11" t="inlineStr">
        <is>
          <t>Hands-on Projects</t>
        </is>
      </c>
      <c r="Q3" s="11" t="inlineStr">
        <is>
          <t>Capstone Included</t>
        </is>
      </c>
      <c r="R3" s="11" t="inlineStr">
        <is>
          <t>Eligibility Requirements</t>
        </is>
      </c>
      <c r="S3" s="11" t="inlineStr">
        <is>
          <t>Access Date</t>
        </is>
      </c>
      <c r="T3" s="11" t="inlineStr">
        <is>
          <t>Confidence &amp; Comparability Caveats</t>
        </is>
      </c>
    </row>
    <row r="4">
      <c r="A4" s="12" t="inlineStr">
        <is>
          <t>COMP-UPGRAD-001</t>
        </is>
      </c>
      <c r="B4" s="12" t="inlineStr">
        <is>
          <t>upGrad</t>
        </is>
      </c>
      <c r="C4" s="12" t="inlineStr">
        <is>
          <t>Executive PG Programme in Machine Learning &amp; AI</t>
        </is>
      </c>
      <c r="D4" s="13" t="inlineStr">
        <is>
          <t>Official Link</t>
        </is>
      </c>
      <c r="E4" s="12" t="inlineStr">
        <is>
          <t>IIIT Bangalore (International Institute of Information Technology Bangalore)</t>
        </is>
      </c>
      <c r="F4" s="12" t="inlineStr">
        <is>
          <t>Executive PG Diploma</t>
        </is>
      </c>
      <c r="G4" s="14" t="n">
        <v>335000</v>
      </c>
      <c r="H4" s="14" t="n">
        <v>340000</v>
      </c>
      <c r="I4" s="12" t="inlineStr">
        <is>
          <t>Inclusive of applicable GST in standard published tuition.</t>
        </is>
      </c>
      <c r="J4" s="12" t="inlineStr">
        <is>
          <t>No-cost and low-cost EMI options offered via partner NBFCs (terms subject to credit underwriting).</t>
        </is>
      </c>
      <c r="K4" s="15" t="n">
        <v>13</v>
      </c>
      <c r="L4" s="12" t="inlineStr">
        <is>
          <t>12 - 13 Months</t>
        </is>
      </c>
      <c r="M4" s="15" t="n">
        <v>12</v>
      </c>
      <c r="N4" s="15" t="n">
        <v>15</v>
      </c>
      <c r="O4" s="12" t="inlineStr">
        <is>
          <t>Dedicated student mentor, 1:1 career coaching sessions, 360-degree placement assistance via upGrad recruitment network, and interview preparation workshops.</t>
        </is>
      </c>
      <c r="P4" s="15" t="n">
        <v>12</v>
      </c>
      <c r="Q4" s="12" t="inlineStr">
        <is>
          <t>Yes</t>
        </is>
      </c>
      <c r="R4" s="12" t="inlineStr">
        <is>
          <t>Bachelor's degree with minimum 50% marks; high school/college level mathematics background recommended; no mandatory coding prerequisite.</t>
        </is>
      </c>
      <c r="S4" s="12" t="inlineStr">
        <is>
          <t>2026-10-22</t>
        </is>
      </c>
      <c r="T4" s="12" t="inlineStr">
        <is>
          <t>Outcome statistics (e.g. average salary hike percentages) are self-reported marketing claims not audited by an independent third party; tuition is non-refundable past trial cut-off date.</t>
        </is>
      </c>
    </row>
    <row r="5">
      <c r="A5" s="16" t="inlineStr">
        <is>
          <t>COMP-SIMPLI-002</t>
        </is>
      </c>
      <c r="B5" s="16" t="inlineStr">
        <is>
          <t>Simplilearn</t>
        </is>
      </c>
      <c r="C5" s="16" t="inlineStr">
        <is>
          <t>Post Graduate Program in AI and Machine Learning</t>
        </is>
      </c>
      <c r="D5" s="17" t="inlineStr">
        <is>
          <t>Official Link</t>
        </is>
      </c>
      <c r="E5" s="16" t="inlineStr">
        <is>
          <t>Purdue University (in collaboration with IBM)</t>
        </is>
      </c>
      <c r="F5" s="16" t="inlineStr">
        <is>
          <t>Bootcamp PG Certificate</t>
        </is>
      </c>
      <c r="G5" s="18" t="n">
        <v>259600</v>
      </c>
      <c r="H5" s="18" t="n">
        <v>354000</v>
      </c>
      <c r="I5" s="16" t="inlineStr">
        <is>
          <t>18% GST is added on base tuition during payment checkout.</t>
        </is>
      </c>
      <c r="J5" s="16" t="inlineStr">
        <is>
          <t>Monthly EMI financing available through partner lending platforms.</t>
        </is>
      </c>
      <c r="K5" s="19" t="n">
        <v>11</v>
      </c>
      <c r="L5" s="16" t="inlineStr">
        <is>
          <t>11 Months</t>
        </is>
      </c>
      <c r="M5" s="19" t="n">
        <v>10</v>
      </c>
      <c r="N5" s="19" t="n">
        <v>15</v>
      </c>
      <c r="O5" s="16" t="inlineStr">
        <is>
          <t>JobAssist program providing resume assistance, top hiring company partner access, and mock technical interview sessions.</t>
        </is>
      </c>
      <c r="P5" s="19" t="n">
        <v>25</v>
      </c>
      <c r="Q5" s="16" t="inlineStr">
        <is>
          <t>Yes</t>
        </is>
      </c>
      <c r="R5" s="16" t="inlineStr">
        <is>
          <t>Bachelor's degree in any discipline with basic programming and mathematical aptitude.</t>
        </is>
      </c>
      <c r="S5" s="16" t="inlineStr">
        <is>
          <t>2026-10-22</t>
        </is>
      </c>
      <c r="T5" s="16" t="inlineStr">
        <is>
          <t>Program awards a joint digital certificate of completion from Purdue University Online and Simplilearn; it is not a formal degree and does not confer Purdue alumni status. Placement service facilitates introductions but does not guarantee job placement.</t>
        </is>
      </c>
    </row>
    <row r="6">
      <c r="A6" s="12" t="inlineStr">
        <is>
          <t>COMP-GRTLEA-003</t>
        </is>
      </c>
      <c r="B6" s="12" t="inlineStr">
        <is>
          <t>Great Learning</t>
        </is>
      </c>
      <c r="C6" s="12" t="inlineStr">
        <is>
          <t>Post Graduate Program in Artificial Intelligence &amp; Machine Learning (PGP-AIML)</t>
        </is>
      </c>
      <c r="D6" s="13" t="inlineStr">
        <is>
          <t>Official Link</t>
        </is>
      </c>
      <c r="E6" s="12" t="inlineStr">
        <is>
          <t>McCombs School of Business at The University of Texas at Austin &amp; Great Lakes</t>
        </is>
      </c>
      <c r="F6" s="12" t="inlineStr">
        <is>
          <t>Executive Education Certificate</t>
        </is>
      </c>
      <c r="G6" s="14" t="n">
        <v>283200</v>
      </c>
      <c r="H6" s="14" t="n">
        <v>324500</v>
      </c>
      <c r="I6" s="12" t="inlineStr">
        <is>
          <t>Base tuition excludes 18% GST which is charged at registration.</t>
        </is>
      </c>
      <c r="J6" s="12" t="inlineStr">
        <is>
          <t>Corporate sponsorship billing and flexible 12-month zero-interest EMI schemes.</t>
        </is>
      </c>
      <c r="K6" s="15" t="n">
        <v>12</v>
      </c>
      <c r="L6" s="12" t="inlineStr">
        <is>
          <t>12 Months</t>
        </is>
      </c>
      <c r="M6" s="15" t="n">
        <v>10</v>
      </c>
      <c r="N6" s="15" t="n">
        <v>12</v>
      </c>
      <c r="O6" s="12" t="inlineStr">
        <is>
          <t>GL Excelerate portal access, dedicated career manager, resume building reviews, live hiring drives, and alumni networking access.</t>
        </is>
      </c>
      <c r="P6" s="15" t="n">
        <v>10</v>
      </c>
      <c r="Q6" s="12" t="inlineStr">
        <is>
          <t>Yes</t>
        </is>
      </c>
      <c r="R6" s="12" t="inlineStr">
        <is>
          <t>Bachelor's degree with minimum 50% aggregate marks; prior mathematics background required; Python knowledge recommended.</t>
        </is>
      </c>
      <c r="S6" s="12" t="inlineStr">
        <is>
          <t>2026-10-22</t>
        </is>
      </c>
      <c r="T6" s="12" t="inlineStr">
        <is>
          <t>Credential awarded is a Certificate of Completion from UT Austin McCombs Executive Education; it does not confer academic university degree credits or UT Austin regular alumni status.</t>
        </is>
      </c>
    </row>
    <row r="7">
      <c r="A7" s="16" t="inlineStr">
        <is>
          <t>COMP-IITD-004</t>
        </is>
      </c>
      <c r="B7" s="16" t="inlineStr">
        <is>
          <t>Emeritus / IIT Delhi</t>
        </is>
      </c>
      <c r="C7" s="16" t="inlineStr">
        <is>
          <t>Advanced Certificate Programme in Machine Learning and Deep Learning</t>
        </is>
      </c>
      <c r="D7" s="17" t="inlineStr">
        <is>
          <t>Official Link</t>
        </is>
      </c>
      <c r="E7" s="16" t="inlineStr">
        <is>
          <t>Continuing Education Programme (CEP), Indian Institute of Technology Delhi</t>
        </is>
      </c>
      <c r="F7" s="16" t="inlineStr">
        <is>
          <t>Executive Education Certificate</t>
        </is>
      </c>
      <c r="G7" s="18" t="n">
        <v>230100</v>
      </c>
      <c r="H7" s="18" t="n">
        <v>230100</v>
      </c>
      <c r="I7" s="16" t="inlineStr">
        <is>
          <t>18% GST applied to the base academic fee of ₹1,95,000.</t>
        </is>
      </c>
      <c r="J7" s="16" t="inlineStr">
        <is>
          <t>3-installment payment schedule across program duration managed by Emeritus platform.</t>
        </is>
      </c>
      <c r="K7" s="19" t="n">
        <v>6</v>
      </c>
      <c r="L7" s="16" t="inlineStr">
        <is>
          <t>6 Months</t>
        </is>
      </c>
      <c r="M7" s="19" t="n">
        <v>6</v>
      </c>
      <c r="N7" s="19" t="n">
        <v>8</v>
      </c>
      <c r="O7" s="16" t="inlineStr">
        <is>
          <t>No placement agency service or job guarantee; participants earn CEP IIT Delhi alumni/executive recognition certificate.</t>
        </is>
      </c>
      <c r="P7" s="19" t="n">
        <v>5</v>
      </c>
      <c r="Q7" s="16" t="inlineStr">
        <is>
          <t>Yes</t>
        </is>
      </c>
      <c r="R7" s="16" t="inlineStr">
        <is>
          <t>Graduates (10+2+3) or Diploma holders with mathematics at 10+2 level; minimum 1 year of professional work experience preferred.</t>
        </is>
      </c>
      <c r="S7" s="16" t="inlineStr">
        <is>
          <t>2026-10-22</t>
        </is>
      </c>
      <c r="T7" s="16" t="inlineStr">
        <is>
          <t>This is an executive continuing education certificate, not an IIT Delhi degree. Focus is strictly pedagogical with no placement or career-switching agency support included.</t>
        </is>
      </c>
    </row>
    <row r="8">
      <c r="A8" s="12" t="inlineStr">
        <is>
          <t>COMP-ISI-005</t>
        </is>
      </c>
      <c r="B8" s="12" t="inlineStr">
        <is>
          <t>Coursera / Indian Statistical Institute (ISI)</t>
        </is>
      </c>
      <c r="C8" s="12" t="inlineStr">
        <is>
          <t>Post Graduate Diploma in Applied Statistics (PGDAS)</t>
        </is>
      </c>
      <c r="D8" s="13" t="inlineStr">
        <is>
          <t>Official Link</t>
        </is>
      </c>
      <c r="E8" s="12" t="inlineStr">
        <is>
          <t>Indian Statistical Institute (ISI Kolkata)</t>
        </is>
      </c>
      <c r="F8" s="12" t="inlineStr">
        <is>
          <t>Academic Postgraduate Diploma</t>
        </is>
      </c>
      <c r="G8" s="14" t="n">
        <v>470000</v>
      </c>
      <c r="H8" s="14" t="n">
        <v>470000</v>
      </c>
      <c r="I8" s="12" t="inlineStr">
        <is>
          <t>Academic tuition fee set by Indian Statistical Institute council.</t>
        </is>
      </c>
      <c r="J8" s="12" t="inlineStr">
        <is>
          <t>Pay-per-semester breakdown; student loans eligible through nationalized educational banks.</t>
        </is>
      </c>
      <c r="K8" s="15" t="n">
        <v>24</v>
      </c>
      <c r="L8" s="12" t="inlineStr">
        <is>
          <t>12 - 36 Months (Nominal: 24 Months)</t>
        </is>
      </c>
      <c r="M8" s="15" t="n">
        <v>10</v>
      </c>
      <c r="N8" s="15" t="n">
        <v>20</v>
      </c>
      <c r="O8" s="12" t="inlineStr">
        <is>
          <t>Access to Coursera Career Concierge &amp; job network; credential backed by ISI's global academic reputation.</t>
        </is>
      </c>
      <c r="P8" s="15" t="n">
        <v>8</v>
      </c>
      <c r="Q8" s="12" t="inlineStr">
        <is>
          <t>Yes</t>
        </is>
      </c>
      <c r="R8" s="12" t="inlineStr">
        <is>
          <t>Bachelor's degree with Mathematics or Statistics at the degree level; formal academic entrance screening.</t>
        </is>
      </c>
      <c r="S8" s="12" t="inlineStr">
        <is>
          <t>2026-10-22</t>
        </is>
      </c>
      <c r="T8" s="12" t="inlineStr">
        <is>
          <t>Demands substantial mathematical rigor (linear algebra, probability distributions, calculus); significant dropout risk if prerequisite foundational math is lacking. Not an accelerated bootcamp.</t>
        </is>
      </c>
    </row>
  </sheetData>
  <autoFilter ref="A3:T8"/>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showGridLines="1" workbookViewId="0">
      <pane ySplit="3" topLeftCell="A4" activePane="bottomLeft" state="frozen"/>
      <selection pane="bottomLeft" activeCell="A1" sqref="A1"/>
    </sheetView>
  </sheetViews>
  <sheetFormatPr baseColWidth="8" defaultRowHeight="15"/>
  <cols>
    <col width="15" customWidth="1" min="1" max="1"/>
    <col width="48" customWidth="1" min="2" max="2"/>
    <col width="48" customWidth="1" min="3" max="3"/>
    <col width="20" customWidth="1" min="4" max="4"/>
    <col width="14" customWidth="1" min="5" max="5"/>
    <col width="23" customWidth="1" min="6" max="6"/>
    <col width="48" customWidth="1" min="7" max="7"/>
    <col width="48" customWidth="1" min="8" max="8"/>
    <col width="40" customWidth="1" min="9" max="9"/>
    <col width="13" customWidth="1" min="10" max="10"/>
    <col width="48" customWidth="1" min="11" max="11"/>
  </cols>
  <sheetData>
    <row r="1">
      <c r="A1" s="1" t="inlineStr">
        <is>
          <t>RESEARCH SOURCE LOG &amp; EVIDENCE NOTES</t>
        </is>
      </c>
    </row>
    <row r="2">
      <c r="A2" s="2" t="inlineStr">
        <is>
          <t>Granular record of observations, quotation citations, and evidence classification.</t>
        </is>
      </c>
    </row>
    <row r="3">
      <c r="A3" s="11" t="inlineStr">
        <is>
          <t>Evidence ID</t>
        </is>
      </c>
      <c r="B3" s="11" t="inlineStr">
        <is>
          <t>Provider</t>
        </is>
      </c>
      <c r="C3" s="11" t="inlineStr">
        <is>
          <t>Program Name</t>
        </is>
      </c>
      <c r="D3" s="11" t="inlineStr">
        <is>
          <t>Direct Source URL</t>
        </is>
      </c>
      <c r="E3" s="11" t="inlineStr">
        <is>
          <t>Access Date</t>
        </is>
      </c>
      <c r="F3" s="11" t="inlineStr">
        <is>
          <t>Field Being Compared</t>
        </is>
      </c>
      <c r="G3" s="11" t="inlineStr">
        <is>
          <t>Observed Value</t>
        </is>
      </c>
      <c r="H3" s="11" t="inlineStr">
        <is>
          <t>Supporting Quotation / Page Location</t>
        </is>
      </c>
      <c r="I3" s="11" t="inlineStr">
        <is>
          <t>Classification</t>
        </is>
      </c>
      <c r="J3" s="11" t="inlineStr">
        <is>
          <t>Confidence</t>
        </is>
      </c>
      <c r="K3" s="11" t="inlineStr">
        <is>
          <t>Caveats</t>
        </is>
      </c>
    </row>
    <row r="4">
      <c r="A4" s="12" t="inlineStr">
        <is>
          <t>EVID-UPG-01</t>
        </is>
      </c>
      <c r="B4" s="12" t="inlineStr">
        <is>
          <t>upGrad</t>
        </is>
      </c>
      <c r="C4" s="12" t="inlineStr">
        <is>
          <t>Executive PG Programme in Machine Learning &amp; AI</t>
        </is>
      </c>
      <c r="D4" s="13" t="inlineStr">
        <is>
          <t>Source Page</t>
        </is>
      </c>
      <c r="E4" s="12" t="inlineStr">
        <is>
          <t>2026-10-22</t>
        </is>
      </c>
      <c r="F4" s="12" t="inlineStr">
        <is>
          <t>Tuition Fee</t>
        </is>
      </c>
      <c r="G4" s="12" t="inlineStr">
        <is>
          <t>₹3,35,000 - ₹3,40,000 INR</t>
        </is>
      </c>
      <c r="H4" s="12" t="inlineStr">
        <is>
          <t>Published program fee schedule inclusive of taxes</t>
        </is>
      </c>
      <c r="I4" s="12" t="inlineStr">
        <is>
          <t>Official Published Claim</t>
        </is>
      </c>
      <c r="J4" s="12" t="inlineStr">
        <is>
          <t>High</t>
        </is>
      </c>
      <c r="K4" s="12" t="inlineStr">
        <is>
          <t>Tuition includes taxes; EMI subject to NBFC interest rates</t>
        </is>
      </c>
    </row>
    <row r="5">
      <c r="A5" s="16" t="inlineStr">
        <is>
          <t>EVID-UPG-02</t>
        </is>
      </c>
      <c r="B5" s="16" t="inlineStr">
        <is>
          <t>upGrad</t>
        </is>
      </c>
      <c r="C5" s="16" t="inlineStr">
        <is>
          <t>Executive PG Programme in Machine Learning &amp; AI</t>
        </is>
      </c>
      <c r="D5" s="17" t="inlineStr">
        <is>
          <t>Source Page</t>
        </is>
      </c>
      <c r="E5" s="16" t="inlineStr">
        <is>
          <t>2026-10-22</t>
        </is>
      </c>
      <c r="F5" s="16" t="inlineStr">
        <is>
          <t>Duration</t>
        </is>
      </c>
      <c r="G5" s="16" t="inlineStr">
        <is>
          <t>12 - 13 Months</t>
        </is>
      </c>
      <c r="H5" s="16" t="inlineStr">
        <is>
          <t>Course duration: 12-13 months recommended for working professionals</t>
        </is>
      </c>
      <c r="I5" s="16" t="inlineStr">
        <is>
          <t>Official Published Claim</t>
        </is>
      </c>
      <c r="J5" s="16" t="inlineStr">
        <is>
          <t>High</t>
        </is>
      </c>
      <c r="K5" s="16" t="inlineStr">
        <is>
          <t>Self-paced modules with scheduled weekend deadlines</t>
        </is>
      </c>
    </row>
    <row r="6">
      <c r="A6" s="12" t="inlineStr">
        <is>
          <t>EVID-UPG-03</t>
        </is>
      </c>
      <c r="B6" s="12" t="inlineStr">
        <is>
          <t>upGrad</t>
        </is>
      </c>
      <c r="C6" s="12" t="inlineStr">
        <is>
          <t>Executive PG Programme in Machine Learning &amp; AI</t>
        </is>
      </c>
      <c r="D6" s="13" t="inlineStr">
        <is>
          <t>Source Page</t>
        </is>
      </c>
      <c r="E6" s="12" t="inlineStr">
        <is>
          <t>2026-10-22</t>
        </is>
      </c>
      <c r="F6" s="12" t="inlineStr">
        <is>
          <t>Credential Partner</t>
        </is>
      </c>
      <c r="G6" s="12" t="inlineStr">
        <is>
          <t>IIIT Bangalore</t>
        </is>
      </c>
      <c r="H6" s="12" t="inlineStr">
        <is>
          <t>Executive PGD from IIIT Bangalore</t>
        </is>
      </c>
      <c r="I6" s="12" t="inlineStr">
        <is>
          <t>Official Academic Partner</t>
        </is>
      </c>
      <c r="J6" s="12" t="inlineStr">
        <is>
          <t>High</t>
        </is>
      </c>
      <c r="K6" s="12" t="inlineStr">
        <is>
          <t>Conveys Executive Post Graduate Diploma from IIITB; not regular M.Tech degree</t>
        </is>
      </c>
    </row>
    <row r="7">
      <c r="A7" s="16" t="inlineStr">
        <is>
          <t>EVID-UPG-04</t>
        </is>
      </c>
      <c r="B7" s="16" t="inlineStr">
        <is>
          <t>upGrad</t>
        </is>
      </c>
      <c r="C7" s="16" t="inlineStr">
        <is>
          <t>Executive PG Programme in Machine Learning &amp; AI</t>
        </is>
      </c>
      <c r="D7" s="17" t="inlineStr">
        <is>
          <t>Source Page</t>
        </is>
      </c>
      <c r="E7" s="16" t="inlineStr">
        <is>
          <t>2026-10-22</t>
        </is>
      </c>
      <c r="F7" s="16" t="inlineStr">
        <is>
          <t>Weekly Commitment</t>
        </is>
      </c>
      <c r="G7" s="16" t="inlineStr">
        <is>
          <t>12 - 15 hours/week</t>
        </is>
      </c>
      <c r="H7" s="16" t="inlineStr">
        <is>
          <t>Recommended study effort: 12-15 hrs/week</t>
        </is>
      </c>
      <c r="I7" s="16" t="inlineStr">
        <is>
          <t>Official Guideline</t>
        </is>
      </c>
      <c r="J7" s="16" t="inlineStr">
        <is>
          <t>High</t>
        </is>
      </c>
      <c r="K7" s="16" t="inlineStr">
        <is>
          <t>Working professionals often report higher hours when completing capstone</t>
        </is>
      </c>
    </row>
    <row r="8">
      <c r="A8" s="12" t="inlineStr">
        <is>
          <t>EVID-UPG-05</t>
        </is>
      </c>
      <c r="B8" s="12" t="inlineStr">
        <is>
          <t>upGrad</t>
        </is>
      </c>
      <c r="C8" s="12" t="inlineStr">
        <is>
          <t>Executive PG Programme in Machine Learning &amp; AI</t>
        </is>
      </c>
      <c r="D8" s="13" t="inlineStr">
        <is>
          <t>Source Page</t>
        </is>
      </c>
      <c r="E8" s="12" t="inlineStr">
        <is>
          <t>2026-10-22</t>
        </is>
      </c>
      <c r="F8" s="12" t="inlineStr">
        <is>
          <t>Projects &amp; Capstone</t>
        </is>
      </c>
      <c r="G8" s="12" t="inlineStr">
        <is>
          <t>12+ Projects &amp; 1 Capstone</t>
        </is>
      </c>
      <c r="H8" s="12" t="inlineStr">
        <is>
          <t>12+ industry case studies and 1 capstone project</t>
        </is>
      </c>
      <c r="I8" s="12" t="inlineStr">
        <is>
          <t>Official Curriculum Claim</t>
        </is>
      </c>
      <c r="J8" s="12" t="inlineStr">
        <is>
          <t>High</t>
        </is>
      </c>
      <c r="K8" s="12" t="inlineStr">
        <is>
          <t>Projects are primarily hosted on Jupyter notebook environments</t>
        </is>
      </c>
    </row>
    <row r="9">
      <c r="A9" s="16" t="inlineStr">
        <is>
          <t>EVID-UPG-06</t>
        </is>
      </c>
      <c r="B9" s="16" t="inlineStr">
        <is>
          <t>upGrad</t>
        </is>
      </c>
      <c r="C9" s="16" t="inlineStr">
        <is>
          <t>Executive PG Programme in Machine Learning &amp; AI</t>
        </is>
      </c>
      <c r="D9" s="17" t="inlineStr">
        <is>
          <t>Source Page</t>
        </is>
      </c>
      <c r="E9" s="16" t="inlineStr">
        <is>
          <t>2026-10-22</t>
        </is>
      </c>
      <c r="F9" s="16" t="inlineStr">
        <is>
          <t>Career Support</t>
        </is>
      </c>
      <c r="G9" s="16" t="inlineStr">
        <is>
          <t>360-degree career assistance, job portal access</t>
        </is>
      </c>
      <c r="H9" s="16" t="inlineStr">
        <is>
          <t>Resume building, mock interviews, and access to partner hiring drives</t>
        </is>
      </c>
      <c r="I9" s="16" t="inlineStr">
        <is>
          <t>Marketing Claim with Legal Disclaimer</t>
        </is>
      </c>
      <c r="J9" s="16" t="inlineStr">
        <is>
          <t>Moderate</t>
        </is>
      </c>
      <c r="K9" s="16" t="inlineStr">
        <is>
          <t>Terms of Service state that program does not guarantee employment or compensation levels</t>
        </is>
      </c>
    </row>
    <row r="10">
      <c r="A10" s="12" t="inlineStr">
        <is>
          <t>EVID-SIM-01</t>
        </is>
      </c>
      <c r="B10" s="12" t="inlineStr">
        <is>
          <t>Simplilearn</t>
        </is>
      </c>
      <c r="C10" s="12" t="inlineStr">
        <is>
          <t>Post Graduate Program in AI and Machine Learning</t>
        </is>
      </c>
      <c r="D10" s="13" t="inlineStr">
        <is>
          <t>Source Page</t>
        </is>
      </c>
      <c r="E10" s="12" t="inlineStr">
        <is>
          <t>2026-10-22</t>
        </is>
      </c>
      <c r="F10" s="12" t="inlineStr">
        <is>
          <t>Tuition Fee</t>
        </is>
      </c>
      <c r="G10" s="12" t="inlineStr">
        <is>
          <t>₹2,20,000 - ₹3,00,000 + 18% GST</t>
        </is>
      </c>
      <c r="H10" s="12" t="inlineStr">
        <is>
          <t>Base tuition quoted in marketing; 18% GST added at checkout</t>
        </is>
      </c>
      <c r="I10" s="12" t="inlineStr">
        <is>
          <t>Official Published Claim</t>
        </is>
      </c>
      <c r="J10" s="12" t="inlineStr">
        <is>
          <t>High</t>
        </is>
      </c>
      <c r="K10" s="12" t="inlineStr">
        <is>
          <t>Net payable ranges from ₹2,59,600 to ₹3,54,000 depending on promotional cohort discounts</t>
        </is>
      </c>
    </row>
    <row r="11">
      <c r="A11" s="16" t="inlineStr">
        <is>
          <t>EVID-SIM-02</t>
        </is>
      </c>
      <c r="B11" s="16" t="inlineStr">
        <is>
          <t>Simplilearn</t>
        </is>
      </c>
      <c r="C11" s="16" t="inlineStr">
        <is>
          <t>Post Graduate Program in AI and Machine Learning</t>
        </is>
      </c>
      <c r="D11" s="17" t="inlineStr">
        <is>
          <t>Source Page</t>
        </is>
      </c>
      <c r="E11" s="16" t="inlineStr">
        <is>
          <t>2026-10-22</t>
        </is>
      </c>
      <c r="F11" s="16" t="inlineStr">
        <is>
          <t>Duration</t>
        </is>
      </c>
      <c r="G11" s="16" t="inlineStr">
        <is>
          <t>11 Months</t>
        </is>
      </c>
      <c r="H11" s="16" t="inlineStr">
        <is>
          <t>11 months live online bootcamp format</t>
        </is>
      </c>
      <c r="I11" s="16" t="inlineStr">
        <is>
          <t>Official Published Claim</t>
        </is>
      </c>
      <c r="J11" s="16" t="inlineStr">
        <is>
          <t>High</t>
        </is>
      </c>
      <c r="K11" s="16" t="inlineStr">
        <is>
          <t>Cohort paced with scheduled instructor-led online sessions</t>
        </is>
      </c>
    </row>
    <row r="12">
      <c r="A12" s="12" t="inlineStr">
        <is>
          <t>EVID-SIM-03</t>
        </is>
      </c>
      <c r="B12" s="12" t="inlineStr">
        <is>
          <t>Simplilearn</t>
        </is>
      </c>
      <c r="C12" s="12" t="inlineStr">
        <is>
          <t>Post Graduate Program in AI and Machine Learning</t>
        </is>
      </c>
      <c r="D12" s="13" t="inlineStr">
        <is>
          <t>Source Page</t>
        </is>
      </c>
      <c r="E12" s="12" t="inlineStr">
        <is>
          <t>2026-10-22</t>
        </is>
      </c>
      <c r="F12" s="12" t="inlineStr">
        <is>
          <t>Credential Partner</t>
        </is>
      </c>
      <c r="G12" s="12" t="inlineStr">
        <is>
          <t>Purdue University &amp; IBM</t>
        </is>
      </c>
      <c r="H12" s="12" t="inlineStr">
        <is>
          <t>Joint Certificate of Completion from Purdue Online and Simplilearn</t>
        </is>
      </c>
      <c r="I12" s="12" t="inlineStr">
        <is>
          <t>Official Partner Co-branding</t>
        </is>
      </c>
      <c r="J12" s="12" t="inlineStr">
        <is>
          <t>High</t>
        </is>
      </c>
      <c r="K12" s="12" t="inlineStr">
        <is>
          <t>Digital certificate of completion; does not grant Purdue degree or academic alumni privileges</t>
        </is>
      </c>
    </row>
    <row r="13">
      <c r="A13" s="16" t="inlineStr">
        <is>
          <t>EVID-SIM-04</t>
        </is>
      </c>
      <c r="B13" s="16" t="inlineStr">
        <is>
          <t>Simplilearn</t>
        </is>
      </c>
      <c r="C13" s="16" t="inlineStr">
        <is>
          <t>Post Graduate Program in AI and Machine Learning</t>
        </is>
      </c>
      <c r="D13" s="17" t="inlineStr">
        <is>
          <t>Source Page</t>
        </is>
      </c>
      <c r="E13" s="16" t="inlineStr">
        <is>
          <t>2026-10-22</t>
        </is>
      </c>
      <c r="F13" s="16" t="inlineStr">
        <is>
          <t>Projects &amp; Capstone</t>
        </is>
      </c>
      <c r="G13" s="16" t="inlineStr">
        <is>
          <t>25+ Projects &amp; 3 Capstones</t>
        </is>
      </c>
      <c r="H13" s="16" t="inlineStr">
        <is>
          <t>25+ hands-on projects across 3 domains plus GPU lab sandboxes</t>
        </is>
      </c>
      <c r="I13" s="16" t="inlineStr">
        <is>
          <t>Official Curriculum Claim</t>
        </is>
      </c>
      <c r="J13" s="16" t="inlineStr">
        <is>
          <t>High</t>
        </is>
      </c>
      <c r="K13" s="16" t="inlineStr">
        <is>
          <t>High quantity of pre-configured sandbox exercises</t>
        </is>
      </c>
    </row>
    <row r="14">
      <c r="A14" s="12" t="inlineStr">
        <is>
          <t>EVID-SIM-05</t>
        </is>
      </c>
      <c r="B14" s="12" t="inlineStr">
        <is>
          <t>Simplilearn</t>
        </is>
      </c>
      <c r="C14" s="12" t="inlineStr">
        <is>
          <t>Post Graduate Program in AI and Machine Learning</t>
        </is>
      </c>
      <c r="D14" s="13" t="inlineStr">
        <is>
          <t>Source Page</t>
        </is>
      </c>
      <c r="E14" s="12" t="inlineStr">
        <is>
          <t>2026-10-22</t>
        </is>
      </c>
      <c r="F14" s="12" t="inlineStr">
        <is>
          <t>Career Support</t>
        </is>
      </c>
      <c r="G14" s="12" t="inlineStr">
        <is>
          <t>JobAssist career services</t>
        </is>
      </c>
      <c r="H14" s="12" t="inlineStr">
        <is>
          <t>Access to job fairs, career mentorship, resume rewrite assistance</t>
        </is>
      </c>
      <c r="I14" s="12" t="inlineStr">
        <is>
          <t>Marketing Claim with Caveat</t>
        </is>
      </c>
      <c r="J14" s="12" t="inlineStr">
        <is>
          <t>Moderate</t>
        </is>
      </c>
      <c r="K14" s="12" t="inlineStr">
        <is>
          <t>No placement guarantee; facilitates introductions to corporate recruiters</t>
        </is>
      </c>
    </row>
    <row r="15">
      <c r="A15" s="16" t="inlineStr">
        <is>
          <t>EVID-GL-01</t>
        </is>
      </c>
      <c r="B15" s="16" t="inlineStr">
        <is>
          <t>Great Learning</t>
        </is>
      </c>
      <c r="C15" s="16" t="inlineStr">
        <is>
          <t>Post Graduate Program in Artificial Intelligence &amp; Machine Learning (PGP-AIML)</t>
        </is>
      </c>
      <c r="D15" s="17" t="inlineStr">
        <is>
          <t>Source Page</t>
        </is>
      </c>
      <c r="E15" s="16" t="inlineStr">
        <is>
          <t>2026-10-22</t>
        </is>
      </c>
      <c r="F15" s="16" t="inlineStr">
        <is>
          <t>Tuition Fee</t>
        </is>
      </c>
      <c r="G15" s="16" t="inlineStr">
        <is>
          <t>₹2,40,000 - ₹2,75,000 + 18% GST</t>
        </is>
      </c>
      <c r="H15" s="16" t="inlineStr">
        <is>
          <t>Tuition payable in installments; excludes 18% GST</t>
        </is>
      </c>
      <c r="I15" s="16" t="inlineStr">
        <is>
          <t>Official Published Claim</t>
        </is>
      </c>
      <c r="J15" s="16" t="inlineStr">
        <is>
          <t>High</t>
        </is>
      </c>
      <c r="K15" s="16" t="inlineStr">
        <is>
          <t>Total realized cost is ₹2,83,200 to ₹3,24,500 after tax</t>
        </is>
      </c>
    </row>
    <row r="16">
      <c r="A16" s="12" t="inlineStr">
        <is>
          <t>EVID-GL-02</t>
        </is>
      </c>
      <c r="B16" s="12" t="inlineStr">
        <is>
          <t>Great Learning</t>
        </is>
      </c>
      <c r="C16" s="12" t="inlineStr">
        <is>
          <t>Post Graduate Program in Artificial Intelligence &amp; Machine Learning (PGP-AIML)</t>
        </is>
      </c>
      <c r="D16" s="13" t="inlineStr">
        <is>
          <t>Source Page</t>
        </is>
      </c>
      <c r="E16" s="12" t="inlineStr">
        <is>
          <t>2026-10-22</t>
        </is>
      </c>
      <c r="F16" s="12" t="inlineStr">
        <is>
          <t>Duration</t>
        </is>
      </c>
      <c r="G16" s="12" t="inlineStr">
        <is>
          <t>12 Months</t>
        </is>
      </c>
      <c r="H16" s="12" t="inlineStr">
        <is>
          <t>12-month online mentored learning format</t>
        </is>
      </c>
      <c r="I16" s="12" t="inlineStr">
        <is>
          <t>Official Published Claim</t>
        </is>
      </c>
      <c r="J16" s="12" t="inlineStr">
        <is>
          <t>High</t>
        </is>
      </c>
      <c r="K16" s="12" t="inlineStr">
        <is>
          <t>Weekend online micro-mentorship batches with weekly deliverables</t>
        </is>
      </c>
    </row>
    <row r="17">
      <c r="A17" s="16" t="inlineStr">
        <is>
          <t>EVID-GL-03</t>
        </is>
      </c>
      <c r="B17" s="16" t="inlineStr">
        <is>
          <t>Great Learning</t>
        </is>
      </c>
      <c r="C17" s="16" t="inlineStr">
        <is>
          <t>Post Graduate Program in Artificial Intelligence &amp; Machine Learning (PGP-AIML)</t>
        </is>
      </c>
      <c r="D17" s="17" t="inlineStr">
        <is>
          <t>Source Page</t>
        </is>
      </c>
      <c r="E17" s="16" t="inlineStr">
        <is>
          <t>2026-10-22</t>
        </is>
      </c>
      <c r="F17" s="16" t="inlineStr">
        <is>
          <t>Credential Partner</t>
        </is>
      </c>
      <c r="G17" s="16" t="inlineStr">
        <is>
          <t>UT Austin McCombs &amp; Great Lakes</t>
        </is>
      </c>
      <c r="H17" s="16" t="inlineStr">
        <is>
          <t>Certificate of Completion from The University of Texas at Austin McCombs School of Business</t>
        </is>
      </c>
      <c r="I17" s="16" t="inlineStr">
        <is>
          <t>Official Executive Partner</t>
        </is>
      </c>
      <c r="J17" s="16" t="inlineStr">
        <is>
          <t>High</t>
        </is>
      </c>
      <c r="K17" s="16" t="inlineStr">
        <is>
          <t>Executive education certificate; no academic transcript or regular university degree</t>
        </is>
      </c>
    </row>
    <row r="18">
      <c r="A18" s="12" t="inlineStr">
        <is>
          <t>EVID-GL-04</t>
        </is>
      </c>
      <c r="B18" s="12" t="inlineStr">
        <is>
          <t>Great Learning</t>
        </is>
      </c>
      <c r="C18" s="12" t="inlineStr">
        <is>
          <t>Post Graduate Program in Artificial Intelligence &amp; Machine Learning (PGP-AIML)</t>
        </is>
      </c>
      <c r="D18" s="13" t="inlineStr">
        <is>
          <t>Source Page</t>
        </is>
      </c>
      <c r="E18" s="12" t="inlineStr">
        <is>
          <t>2026-10-22</t>
        </is>
      </c>
      <c r="F18" s="12" t="inlineStr">
        <is>
          <t>Projects &amp; Capstone</t>
        </is>
      </c>
      <c r="G18" s="12" t="inlineStr">
        <is>
          <t>10+ Hands-on Projects &amp; 1 Industry Capstone</t>
        </is>
      </c>
      <c r="H18" s="12" t="inlineStr">
        <is>
          <t>10 guided industry projects and 1 mentored final capstone</t>
        </is>
      </c>
      <c r="I18" s="12" t="inlineStr">
        <is>
          <t>Official Curriculum Claim</t>
        </is>
      </c>
      <c r="J18" s="12" t="inlineStr">
        <is>
          <t>High</t>
        </is>
      </c>
      <c r="K18" s="12" t="inlineStr">
        <is>
          <t>Projects are evaluated by industry mentors against standardized rubrics</t>
        </is>
      </c>
    </row>
    <row r="19">
      <c r="A19" s="16" t="inlineStr">
        <is>
          <t>EVID-GL-05</t>
        </is>
      </c>
      <c r="B19" s="16" t="inlineStr">
        <is>
          <t>Great Learning</t>
        </is>
      </c>
      <c r="C19" s="16" t="inlineStr">
        <is>
          <t>Post Graduate Program in Artificial Intelligence &amp; Machine Learning (PGP-AIML)</t>
        </is>
      </c>
      <c r="D19" s="17" t="inlineStr">
        <is>
          <t>Source Page</t>
        </is>
      </c>
      <c r="E19" s="16" t="inlineStr">
        <is>
          <t>2026-10-22</t>
        </is>
      </c>
      <c r="F19" s="16" t="inlineStr">
        <is>
          <t>Career Support</t>
        </is>
      </c>
      <c r="G19" s="16" t="inlineStr">
        <is>
          <t>GL Excelerate career support, hiring portal</t>
        </is>
      </c>
      <c r="H19" s="16" t="inlineStr">
        <is>
          <t>Hiring drives, job board, dedicated career mentorship</t>
        </is>
      </c>
      <c r="I19" s="16" t="inlineStr">
        <is>
          <t>Marketing Claim with Caveat</t>
        </is>
      </c>
      <c r="J19" s="16" t="inlineStr">
        <is>
          <t>Moderate</t>
        </is>
      </c>
      <c r="K19" s="16" t="inlineStr">
        <is>
          <t>Placement assistance portal access; individual employment outcomes vary widely</t>
        </is>
      </c>
    </row>
    <row r="20">
      <c r="A20" s="12" t="inlineStr">
        <is>
          <t>EVID-IITD-01</t>
        </is>
      </c>
      <c r="B20" s="12" t="inlineStr">
        <is>
          <t>Emeritus / IIT Delhi</t>
        </is>
      </c>
      <c r="C20" s="12" t="inlineStr">
        <is>
          <t>Advanced Certificate Programme in Machine Learning and Deep Learning</t>
        </is>
      </c>
      <c r="D20" s="13" t="inlineStr">
        <is>
          <t>Source Page</t>
        </is>
      </c>
      <c r="E20" s="12" t="inlineStr">
        <is>
          <t>2026-10-22</t>
        </is>
      </c>
      <c r="F20" s="12" t="inlineStr">
        <is>
          <t>Tuition Fee</t>
        </is>
      </c>
      <c r="G20" s="12" t="inlineStr">
        <is>
          <t>₹1,95,000 + 18% GST (₹2,30,100)</t>
        </is>
      </c>
      <c r="H20" s="12" t="inlineStr">
        <is>
          <t>Program fee ₹1,95,000 plus applicable taxes (total ₹2,30,100)</t>
        </is>
      </c>
      <c r="I20" s="12" t="inlineStr">
        <is>
          <t>Official Published Claim</t>
        </is>
      </c>
      <c r="J20" s="12" t="inlineStr">
        <is>
          <t>High</t>
        </is>
      </c>
      <c r="K20" s="12" t="inlineStr">
        <is>
          <t>Payable in 3 scheduled installments via Emeritus platform</t>
        </is>
      </c>
    </row>
    <row r="21">
      <c r="A21" s="16" t="inlineStr">
        <is>
          <t>EVID-IITD-02</t>
        </is>
      </c>
      <c r="B21" s="16" t="inlineStr">
        <is>
          <t>Emeritus / IIT Delhi</t>
        </is>
      </c>
      <c r="C21" s="16" t="inlineStr">
        <is>
          <t>Advanced Certificate Programme in Machine Learning and Deep Learning</t>
        </is>
      </c>
      <c r="D21" s="17" t="inlineStr">
        <is>
          <t>Source Page</t>
        </is>
      </c>
      <c r="E21" s="16" t="inlineStr">
        <is>
          <t>2026-10-22</t>
        </is>
      </c>
      <c r="F21" s="16" t="inlineStr">
        <is>
          <t>Duration</t>
        </is>
      </c>
      <c r="G21" s="16" t="inlineStr">
        <is>
          <t>6 Months</t>
        </is>
      </c>
      <c r="H21" s="16" t="inlineStr">
        <is>
          <t>6-month duration; ~80 hours live online faculty instruction</t>
        </is>
      </c>
      <c r="I21" s="16" t="inlineStr">
        <is>
          <t>Official Academic Program</t>
        </is>
      </c>
      <c r="J21" s="16" t="inlineStr">
        <is>
          <t>High</t>
        </is>
      </c>
      <c r="K21" s="16" t="inlineStr">
        <is>
          <t>Intense academic pacing delivered over 24 weeks</t>
        </is>
      </c>
    </row>
    <row r="22">
      <c r="A22" s="12" t="inlineStr">
        <is>
          <t>EVID-IITD-03</t>
        </is>
      </c>
      <c r="B22" s="12" t="inlineStr">
        <is>
          <t>Emeritus / IIT Delhi</t>
        </is>
      </c>
      <c r="C22" s="12" t="inlineStr">
        <is>
          <t>Advanced Certificate Programme in Machine Learning and Deep Learning</t>
        </is>
      </c>
      <c r="D22" s="13" t="inlineStr">
        <is>
          <t>Source Page</t>
        </is>
      </c>
      <c r="E22" s="12" t="inlineStr">
        <is>
          <t>2026-10-22</t>
        </is>
      </c>
      <c r="F22" s="12" t="inlineStr">
        <is>
          <t>Credential Partner</t>
        </is>
      </c>
      <c r="G22" s="12" t="inlineStr">
        <is>
          <t>Continuing Education Programme (CEP) IIT Delhi</t>
        </is>
      </c>
      <c r="H22" s="12" t="inlineStr">
        <is>
          <t>Certificate awarded under Continuing Education Programme, IIT Delhi</t>
        </is>
      </c>
      <c r="I22" s="12" t="inlineStr">
        <is>
          <t>Official Institutional Arm</t>
        </is>
      </c>
      <c r="J22" s="12" t="inlineStr">
        <is>
          <t>High</t>
        </is>
      </c>
      <c r="K22" s="12" t="inlineStr">
        <is>
          <t>Executive certificate of participation/completion; does not confer regular IIT Delhi degree or alumni association voting status</t>
        </is>
      </c>
    </row>
    <row r="23">
      <c r="A23" s="16" t="inlineStr">
        <is>
          <t>EVID-IITD-04</t>
        </is>
      </c>
      <c r="B23" s="16" t="inlineStr">
        <is>
          <t>Emeritus / IIT Delhi</t>
        </is>
      </c>
      <c r="C23" s="16" t="inlineStr">
        <is>
          <t>Advanced Certificate Programme in Machine Learning and Deep Learning</t>
        </is>
      </c>
      <c r="D23" s="17" t="inlineStr">
        <is>
          <t>Source Page</t>
        </is>
      </c>
      <c r="E23" s="16" t="inlineStr">
        <is>
          <t>2026-10-22</t>
        </is>
      </c>
      <c r="F23" s="16" t="inlineStr">
        <is>
          <t>Projects &amp; Capstone</t>
        </is>
      </c>
      <c r="G23" s="16" t="inlineStr">
        <is>
          <t>5 Assignments &amp; 1 Dedicated Capstone</t>
        </is>
      </c>
      <c r="H23" s="16" t="inlineStr">
        <is>
          <t>20-30 hours assignments and 3-week final capstone (~20 hours)</t>
        </is>
      </c>
      <c r="I23" s="16" t="inlineStr">
        <is>
          <t>Official Curriculum Claim</t>
        </is>
      </c>
      <c r="J23" s="16" t="inlineStr">
        <is>
          <t>High</t>
        </is>
      </c>
      <c r="K23" s="16" t="inlineStr">
        <is>
          <t>High mathematical rigor; evaluated by IIT faculty &amp; teaching assistants</t>
        </is>
      </c>
    </row>
    <row r="24">
      <c r="A24" s="12" t="inlineStr">
        <is>
          <t>EVID-IITD-05</t>
        </is>
      </c>
      <c r="B24" s="12" t="inlineStr">
        <is>
          <t>Emeritus / IIT Delhi</t>
        </is>
      </c>
      <c r="C24" s="12" t="inlineStr">
        <is>
          <t>Advanced Certificate Programme in Machine Learning and Deep Learning</t>
        </is>
      </c>
      <c r="D24" s="13" t="inlineStr">
        <is>
          <t>Source Page</t>
        </is>
      </c>
      <c r="E24" s="12" t="inlineStr">
        <is>
          <t>2026-10-22</t>
        </is>
      </c>
      <c r="F24" s="12" t="inlineStr">
        <is>
          <t>Career Support</t>
        </is>
      </c>
      <c r="G24" s="12" t="inlineStr">
        <is>
          <t>Academic alumni recognition; no placement agency services</t>
        </is>
      </c>
      <c r="H24" s="12" t="inlineStr">
        <is>
          <t>No job guarantee or placement agency services provided</t>
        </is>
      </c>
      <c r="I24" s="12" t="inlineStr">
        <is>
          <t>Explicit Terms Statement</t>
        </is>
      </c>
      <c r="J24" s="12" t="inlineStr">
        <is>
          <t>High</t>
        </is>
      </c>
      <c r="K24" s="12" t="inlineStr">
        <is>
          <t>Unbiased academic upskilling without commercial job placement claims</t>
        </is>
      </c>
    </row>
    <row r="25">
      <c r="A25" s="16" t="inlineStr">
        <is>
          <t>EVID-ISI-01</t>
        </is>
      </c>
      <c r="B25" s="16" t="inlineStr">
        <is>
          <t>Coursera / Indian Statistical Institute (ISI)</t>
        </is>
      </c>
      <c r="C25" s="16" t="inlineStr">
        <is>
          <t>Post Graduate Diploma in Applied Statistics (PGDAS)</t>
        </is>
      </c>
      <c r="D25" s="17" t="inlineStr">
        <is>
          <t>Source Page</t>
        </is>
      </c>
      <c r="E25" s="16" t="inlineStr">
        <is>
          <t>2026-10-22</t>
        </is>
      </c>
      <c r="F25" s="16" t="inlineStr">
        <is>
          <t>Tuition Fee</t>
        </is>
      </c>
      <c r="G25" s="16" t="inlineStr">
        <is>
          <t>₹4,50,000 Tuition + ₹20,000 Registration (₹4,70,000)</t>
        </is>
      </c>
      <c r="H25" s="16" t="inlineStr">
        <is>
          <t>Total tuition ₹4.5L payable semester-wise + ₹20k registration</t>
        </is>
      </c>
      <c r="I25" s="16" t="inlineStr">
        <is>
          <t>Official Academic Schedule</t>
        </is>
      </c>
      <c r="J25" s="16" t="inlineStr">
        <is>
          <t>High</t>
        </is>
      </c>
      <c r="K25" s="16" t="inlineStr">
        <is>
          <t>Fixed academic tariff approved by Institute council; student bank loans eligible</t>
        </is>
      </c>
    </row>
    <row r="26">
      <c r="A26" s="12" t="inlineStr">
        <is>
          <t>EVID-ISI-02</t>
        </is>
      </c>
      <c r="B26" s="12" t="inlineStr">
        <is>
          <t>Coursera / Indian Statistical Institute (ISI)</t>
        </is>
      </c>
      <c r="C26" s="12" t="inlineStr">
        <is>
          <t>Post Graduate Diploma in Applied Statistics (PGDAS)</t>
        </is>
      </c>
      <c r="D26" s="13" t="inlineStr">
        <is>
          <t>Source Page</t>
        </is>
      </c>
      <c r="E26" s="12" t="inlineStr">
        <is>
          <t>2026-10-22</t>
        </is>
      </c>
      <c r="F26" s="12" t="inlineStr">
        <is>
          <t>Duration</t>
        </is>
      </c>
      <c r="G26" s="12" t="inlineStr">
        <is>
          <t>12 - 36 Months (Nominal: 24 Months)</t>
        </is>
      </c>
      <c r="H26" s="12" t="inlineStr">
        <is>
          <t>1 to 3 years flexible completion; modular semesters</t>
        </is>
      </c>
      <c r="I26" s="12" t="inlineStr">
        <is>
          <t>Official Program Regulation</t>
        </is>
      </c>
      <c r="J26" s="12" t="inlineStr">
        <is>
          <t>High</t>
        </is>
      </c>
      <c r="K26" s="12" t="inlineStr">
        <is>
          <t>Semester exit option after Sem 1 grants Post Graduate Certificate in Basic Statistics</t>
        </is>
      </c>
    </row>
    <row r="27">
      <c r="A27" s="16" t="inlineStr">
        <is>
          <t>EVID-ISI-03</t>
        </is>
      </c>
      <c r="B27" s="16" t="inlineStr">
        <is>
          <t>Coursera / Indian Statistical Institute (ISI)</t>
        </is>
      </c>
      <c r="C27" s="16" t="inlineStr">
        <is>
          <t>Post Graduate Diploma in Applied Statistics (PGDAS)</t>
        </is>
      </c>
      <c r="D27" s="17" t="inlineStr">
        <is>
          <t>Source Page</t>
        </is>
      </c>
      <c r="E27" s="16" t="inlineStr">
        <is>
          <t>2026-10-22</t>
        </is>
      </c>
      <c r="F27" s="16" t="inlineStr">
        <is>
          <t>Credential Partner</t>
        </is>
      </c>
      <c r="G27" s="16" t="inlineStr">
        <is>
          <t>Indian Statistical Institute (ISI Kolkata)</t>
        </is>
      </c>
      <c r="H27" s="16" t="inlineStr">
        <is>
          <t>Formal Post Graduate Diploma awarded by ISI Kolkata</t>
        </is>
      </c>
      <c r="I27" s="16" t="inlineStr">
        <is>
          <t>Official University Diploma</t>
        </is>
      </c>
      <c r="J27" s="16" t="inlineStr">
        <is>
          <t>High</t>
        </is>
      </c>
      <c r="K27" s="16" t="inlineStr">
        <is>
          <t>Accredited statutory institute academic diploma recognized globally</t>
        </is>
      </c>
    </row>
    <row r="28">
      <c r="A28" s="12" t="inlineStr">
        <is>
          <t>EVID-ISI-04</t>
        </is>
      </c>
      <c r="B28" s="12" t="inlineStr">
        <is>
          <t>Coursera / Indian Statistical Institute (ISI)</t>
        </is>
      </c>
      <c r="C28" s="12" t="inlineStr">
        <is>
          <t>Post Graduate Diploma in Applied Statistics (PGDAS)</t>
        </is>
      </c>
      <c r="D28" s="13" t="inlineStr">
        <is>
          <t>Source Page</t>
        </is>
      </c>
      <c r="E28" s="12" t="inlineStr">
        <is>
          <t>2026-10-22</t>
        </is>
      </c>
      <c r="F28" s="12" t="inlineStr">
        <is>
          <t>Weekly Commitment</t>
        </is>
      </c>
      <c r="G28" s="12" t="inlineStr">
        <is>
          <t>10 - 20 hours/week</t>
        </is>
      </c>
      <c r="H28" s="12" t="inlineStr">
        <is>
          <t>Demands 10-20 hours weekly for lectures, problem sets, and R computing</t>
        </is>
      </c>
      <c r="I28" s="12" t="inlineStr">
        <is>
          <t>Official Academic Guideline</t>
        </is>
      </c>
      <c r="J28" s="12" t="inlineStr">
        <is>
          <t>High</t>
        </is>
      </c>
      <c r="K28" s="12" t="inlineStr">
        <is>
          <t>Heavy mathematical prerequisites (linear algebra, multivariate calculus, distribution theory)</t>
        </is>
      </c>
    </row>
    <row r="29">
      <c r="A29" s="16" t="inlineStr">
        <is>
          <t>EVID-ISI-05</t>
        </is>
      </c>
      <c r="B29" s="16" t="inlineStr">
        <is>
          <t>Coursera / Indian Statistical Institute (ISI)</t>
        </is>
      </c>
      <c r="C29" s="16" t="inlineStr">
        <is>
          <t>Post Graduate Diploma in Applied Statistics (PGDAS)</t>
        </is>
      </c>
      <c r="D29" s="17" t="inlineStr">
        <is>
          <t>Source Page</t>
        </is>
      </c>
      <c r="E29" s="16" t="inlineStr">
        <is>
          <t>2026-10-22</t>
        </is>
      </c>
      <c r="F29" s="16" t="inlineStr">
        <is>
          <t>Career Support</t>
        </is>
      </c>
      <c r="G29" s="16" t="inlineStr">
        <is>
          <t>Coursera Career Network + ISI Global Reputation</t>
        </is>
      </c>
      <c r="H29" s="16" t="inlineStr">
        <is>
          <t>Access to Coursera job platform; prestigious academic pedigree</t>
        </is>
      </c>
      <c r="I29" s="16" t="inlineStr">
        <is>
          <t>Institutional Value Proposition</t>
        </is>
      </c>
      <c r="J29" s="16" t="inlineStr">
        <is>
          <t>High</t>
        </is>
      </c>
      <c r="K29" s="16" t="inlineStr">
        <is>
          <t>No placement agency guarantee; employer recognition driven by ISI academic prestige</t>
        </is>
      </c>
    </row>
  </sheetData>
  <autoFilter ref="A3:K28"/>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showGridLines="1" workbookViewId="0">
      <pane ySplit="3" topLeftCell="A4" activePane="bottomLeft" state="frozen"/>
      <selection pane="bottomLeft" activeCell="A1" sqref="A1"/>
    </sheetView>
  </sheetViews>
  <sheetFormatPr baseColWidth="8" defaultRowHeight="15"/>
  <cols>
    <col width="14" customWidth="1" min="1" max="1"/>
    <col width="48"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s>
  <sheetData>
    <row r="1">
      <c r="A1" s="1" t="inlineStr">
        <is>
          <t>EVIDENCE-BACKED INSIGHT LEDGER</t>
        </is>
      </c>
    </row>
    <row r="2">
      <c r="A2" s="2" t="inlineStr">
        <is>
          <t>Distinguishing observed facts, interpretations, alternative explanations, and unknowns.</t>
        </is>
      </c>
    </row>
    <row r="3">
      <c r="A3" s="11" t="inlineStr">
        <is>
          <t>Insight ID</t>
        </is>
      </c>
      <c r="B3" s="11" t="inlineStr">
        <is>
          <t>Core Title</t>
        </is>
      </c>
      <c r="C3" s="11" t="inlineStr">
        <is>
          <t>Empirical Observation</t>
        </is>
      </c>
      <c r="D3" s="11" t="inlineStr">
        <is>
          <t>Evidence IDs</t>
        </is>
      </c>
      <c r="E3" s="11" t="inlineStr">
        <is>
          <t>Interpretation</t>
        </is>
      </c>
      <c r="F3" s="11" t="inlineStr">
        <is>
          <t>Alternative Explanation</t>
        </is>
      </c>
      <c r="G3" s="11" t="inlineStr">
        <is>
          <t>Business Implication</t>
        </is>
      </c>
      <c r="H3" s="11" t="inlineStr">
        <is>
          <t>Confidence</t>
        </is>
      </c>
      <c r="I3" s="11" t="inlineStr">
        <is>
          <t>What Remains Unknown</t>
        </is>
      </c>
      <c r="J3" s="11" t="inlineStr">
        <is>
          <t>Next Validation Action</t>
        </is>
      </c>
    </row>
    <row r="4">
      <c r="A4" s="12" t="inlineStr">
        <is>
          <t>INSIGHT-001</t>
        </is>
      </c>
      <c r="B4" s="12" t="inlineStr">
        <is>
          <t>Gross vs. Net Pricing Obfuscation (The GST &amp; Financing Escalator)</t>
        </is>
      </c>
      <c r="C4" s="12" t="inlineStr">
        <is>
          <t>Three out of five evaluated providers (Simplilearn, Great Learning, Emeritus/IIT Delhi) quote baseline tuition exclusive of 18% GST in headline marketing promotional materials, resulting in a mandatory unadvertised surcharge of ₹35,000 to ₹54,000 at checkout. Total realized pricing ranges from ₹2,30,100 to ₹4,70,000.</t>
        </is>
      </c>
      <c r="D4" s="12" t="inlineStr">
        <is>
          <t>COMP-UPGRAD-001, COMP-SIMPLI-002, COMP-GRTLEA-003, COMP-IITD-004, COMP-ISI-005</t>
        </is>
      </c>
      <c r="E4" s="12" t="inlineStr">
        <is>
          <t>Educational platforms use headline-price masking to lower initial cognitive resistance during top-of-funnel consideration. When learners reach high-pressure sales calls, financing/EMI payments are emphasized ('only ₹7,999/month') to distract from the 18% GST inflation and lender financing interest.</t>
        </is>
      </c>
      <c r="F4" s="12" t="inlineStr">
        <is>
          <t>Providers operate across multiple corporate and international tax jurisdictions where B2B enterprise sponsorships or non-resident candidates are tax-exempt, prompting them to display net base tuition standardly.</t>
        </is>
      </c>
      <c r="G4" s="12" t="inlineStr">
        <is>
          <t>A transparent 'all-in cost calculator' that discloses actual out-of-pocket costs (tuition + GST + mandatory exam fees + financing interest) establishes immediate trust and credibility with skeptical learners.</t>
        </is>
      </c>
      <c r="H4" s="12" t="inlineStr">
        <is>
          <t>High (Directly verifiable across published tuition fee schedules and enrollment checkouts)</t>
        </is>
      </c>
      <c r="I4" s="12" t="inlineStr">
        <is>
          <t>The exact proportion of retail learners who drop out during the payment checkout step due to sudden GST sticker shock.</t>
        </is>
      </c>
      <c r="J4" s="12" t="inlineStr">
        <is>
          <t>Conduct qualitative interviews in Experiment 1 specifically probing at what stage prospective buyers discovered the final after-tax total cost.</t>
        </is>
      </c>
    </row>
    <row r="5">
      <c r="A5" s="16" t="inlineStr">
        <is>
          <t>INSIGHT-002</t>
        </is>
      </c>
      <c r="B5" s="16" t="inlineStr">
        <is>
          <t>The Institutional Credential Halo vs. Legal Degree Reality</t>
        </is>
      </c>
      <c r="C5" s="16" t="inlineStr">
        <is>
          <t>Programs prominently feature prestigious university brand logos (Purdue University, UT Austin McCombs, IIT Delhi) on landing pages, but the legal credential awarded is an 'Executive Continuing Education Certificate' or 'Bootcamp Completion Award', which does not confer alumni status or degree credit.</t>
        </is>
      </c>
      <c r="D5" s="16" t="inlineStr">
        <is>
          <t>COMP-SIMPLI-002, COMP-GRTLEA-003, COMP-IITD-004</t>
        </is>
      </c>
      <c r="E5" s="16" t="inlineStr">
        <is>
          <t>Platforms leverage institutional prestige ('Halo Effect') to justify premium fee structures (₹2L - ₹3.5L). Prospective students frequently conflate an executive certificate with a formal university degree, leading to post-enrollment remorse when they discover they cannot claim alumni network privileges or academic transfer credits.</t>
        </is>
      </c>
      <c r="F5" s="16" t="inlineStr">
        <is>
          <t>Universities intentionally partner with commercial aggregators via their continuing education divisions to monetize academic brand equity without diluting regular on-campus degree standards.</t>
        </is>
      </c>
      <c r="G5" s="16" t="inlineStr">
        <is>
          <t>Proof-Before-Purchase can position itself as a neutral consumer advocate by providing a 'Credential Decoding Matrix' that demystifies degree vs. certificate vs. bootcamp status.</t>
        </is>
      </c>
      <c r="H5" s="16" t="inlineStr">
        <is>
          <t>High (Confirmed via fine print disclaimers on provider terms and university partner portals)</t>
        </is>
      </c>
      <c r="I5" s="16" t="inlineStr">
        <is>
          <t>How hiring managers and technical recruiters in India/US actually weigh executive education certificates versus public GitHub portfolio evidence.</t>
        </is>
      </c>
      <c r="J5" s="16" t="inlineStr">
        <is>
          <t>Survey 25 technical hiring managers on how they evaluate 'IIT Delhi CEP Certificate' vs 'Purdue Bootcamp' vs 'Verified Production Code Repo'.</t>
        </is>
      </c>
    </row>
    <row r="6">
      <c r="A6" s="12" t="inlineStr">
        <is>
          <t>INSIGHT-003</t>
        </is>
      </c>
      <c r="B6" s="12" t="inlineStr">
        <is>
          <t>Outcome Asymmetry: 'Placement Assistance' Conflated with Job Placement</t>
        </is>
      </c>
      <c r="C6" s="12" t="inlineStr">
        <is>
          <t>Commercial platforms promise '360-degree career support', 'JobAssist', and 'exclusive job boards', yet official terms of service explicitly clarify that participation does not guarantee job interviews, placement, or minimum salary thresholds.</t>
        </is>
      </c>
      <c r="D6" s="12" t="inlineStr">
        <is>
          <t>COMP-UPGRAD-001, COMP-SIMPLI-002, COMP-GRTLEA-003, COMP-IITD-004</t>
        </is>
      </c>
      <c r="E6" s="12" t="inlineStr">
        <is>
          <t>High-pressure sales funnels rely heavily on career transformation promises to close sales. However, the legal terms insulate providers from accountability, creating an asymmetric risk where the learner absorbs 100% of the financial burden while the provider takes upfront cash.</t>
        </is>
      </c>
      <c r="F6" s="12" t="inlineStr">
        <is>
          <t>In a volatile tech hiring market, no third-party educational vendor can responsibly guarantee macro hiring demand, making standard disclaimer clauses standard legal prudence.</t>
        </is>
      </c>
      <c r="G6" s="12" t="inlineStr">
        <is>
          <t>Learners are hungry for pre-purchase de-risking: verifying their actual role capability before writing a ₹2.5L+ check. This validates the core value proposition of our diagnostic test.</t>
        </is>
      </c>
      <c r="H6" s="12" t="inlineStr">
        <is>
          <t>High (Directly stated in terms of service agreements across all reviewed providers)</t>
        </is>
      </c>
      <c r="I6" s="12" t="inlineStr">
        <is>
          <t>The actual percentage of enrolled learners who secure a net-positive career transition attributable directly to the provider's internal portal vs self-directed applications.</t>
        </is>
      </c>
      <c r="J6" s="12" t="inlineStr">
        <is>
          <t>Run user interviews (Experiment 1) to test if learners know the difference between 'placement support' and 'job guarantee'.</t>
        </is>
      </c>
    </row>
    <row r="7">
      <c r="A7" s="16" t="inlineStr">
        <is>
          <t>INSIGHT-004</t>
        </is>
      </c>
      <c r="B7" s="16" t="inlineStr">
        <is>
          <t>Project Claim Inflation: High Quantity vs. Production-Depth Gap</t>
        </is>
      </c>
      <c r="C7" s="16" t="inlineStr">
        <is>
          <t>Marketing collateral highlights high project counts ('25+ projects', '12+ industry case studies'), but syllabus inspection reveals that the vast majority are pre-cleaned 45-minute Jupyter notebook walkthroughs with guided code snippets.</t>
        </is>
      </c>
      <c r="D7" s="16" t="inlineStr">
        <is>
          <t>COMP-UPGRAD-001, COMP-SIMPLI-002, COMP-GRTLEA-003</t>
        </is>
      </c>
      <c r="E7" s="16" t="inlineStr">
        <is>
          <t>Quantity is easier to market to beginners than engineering depth. However, tech hiring managers routinely discard cookie-cutter bootcamp projects (e.g., Titanic survival, Boston housing, MNIST classifiers) as lacking genuine software engineering or data validation rigor.</t>
        </is>
      </c>
      <c r="F7" s="16" t="inlineStr">
        <is>
          <t>Beginner learners need bite-sized scaffolded exercises to build initial confidence before tackling open-ended software architectures.</t>
        </is>
      </c>
      <c r="G7" s="16" t="inlineStr">
        <is>
          <t>Offering a tangible mini-project with an objective evaluation rubric before purchase allows learners to taste real-world problem complexity and verify their intrinsic interest before committing 12 months.</t>
        </is>
      </c>
      <c r="H7" s="16" t="inlineStr">
        <is>
          <t>High (Evident from detailed syllabus schedules and GitHub repositories of past graduates)</t>
        </is>
      </c>
      <c r="I7" s="16" t="inlineStr">
        <is>
          <t>Whether prospective learners find open-ended projects energizing or intimidating before enrolling.</t>
        </is>
      </c>
      <c r="J7" s="16" t="inlineStr">
        <is>
          <t>Measure user completion rates of the diagnostic's suggested mini-project scope in Experiment 4.</t>
        </is>
      </c>
    </row>
    <row r="8">
      <c r="A8" s="12" t="inlineStr">
        <is>
          <t>INSIGHT-005</t>
        </is>
      </c>
      <c r="B8" s="12" t="inlineStr">
        <is>
          <t>Time Commitment Underestimation and Completion Drop-Off</t>
        </is>
      </c>
      <c r="C8" s="12" t="inlineStr">
        <is>
          <t>Recommended weekly commitment is listed as 6 to 15 hours per week alongside full-time employment, but rigorous curricula (such as ISI's Applied Statistics or IIT Delhi's deep learning) realistically require 15-20+ hours for candidates without strong mathematical prerequisites.</t>
        </is>
      </c>
      <c r="D8" s="12" t="inlineStr">
        <is>
          <t>COMP-UPGRAD-001, COMP-SIMPLI-002, COMP-IITD-004, COMP-ISI-005</t>
        </is>
      </c>
      <c r="E8" s="12" t="inlineStr">
        <is>
          <t>Understating weekly workload lowers friction during sales calls. When working professionals encounter advanced linear algebra, backpropagation calculus, or R programming, they experience severe cognitive fatigue, contributing to high attrition.</t>
        </is>
      </c>
      <c r="F8" s="12" t="inlineStr">
        <is>
          <t>Course designers calculate hours based on median learners with ideal prerequisites, rather than career switchers starting from scratch.</t>
        </is>
      </c>
      <c r="G8" s="12" t="inlineStr">
        <is>
          <t>Our diagnostic's workload feasibility check (correlating weekly hours with prerequisite gaps) provides an honest, friction-reducing diagnostic that establishes our product as a trusted advisor.</t>
        </is>
      </c>
      <c r="H8" s="12" t="inlineStr">
        <is>
          <t>Moderate to High (Observed in syllabus requirements vs advertised marketing study plans)</t>
        </is>
      </c>
      <c r="I8" s="12" t="inlineStr">
        <is>
          <t>Exact attrition rates across cohorts, as edtech providers treat graduation rates as proprietary confidential data.</t>
        </is>
      </c>
      <c r="J8" s="12" t="inlineStr">
        <is>
          <t>Collect time-budget estimates and past online course drop-out histories in user discovery interviews.</t>
        </is>
      </c>
    </row>
  </sheetData>
  <autoFilter ref="A3:J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showGridLines="1" workbookViewId="0">
      <pane ySplit="3" topLeftCell="A4" activePane="bottomLeft" state="frozen"/>
      <selection pane="bottomLeft" activeCell="A1" sqref="A1"/>
    </sheetView>
  </sheetViews>
  <sheetFormatPr baseColWidth="8" defaultRowHeight="15"/>
  <cols>
    <col width="16" customWidth="1" min="1" max="1"/>
    <col width="48" customWidth="1" min="2" max="2"/>
    <col width="12"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s>
  <sheetData>
    <row r="1">
      <c r="A1" s="1" t="inlineStr">
        <is>
          <t>FIVE-EXPERIMENT GO-TO-MARKET VALIDATION PLAN</t>
        </is>
      </c>
    </row>
    <row r="2">
      <c r="A2" s="2" t="inlineStr">
        <is>
          <t>Systematic testing protocol with decision gates and zero fabricated metrics.</t>
        </is>
      </c>
    </row>
    <row r="3">
      <c r="A3" s="11" t="inlineStr">
        <is>
          <t>Experiment ID</t>
        </is>
      </c>
      <c r="B3" s="11" t="inlineStr">
        <is>
          <t>Title &amp; Theme</t>
        </is>
      </c>
      <c r="C3" s="11" t="inlineStr">
        <is>
          <t>Status</t>
        </is>
      </c>
      <c r="D3" s="11" t="inlineStr">
        <is>
          <t>Hypothesis</t>
        </is>
      </c>
      <c r="E3" s="11" t="inlineStr">
        <is>
          <t>Target Audience</t>
        </is>
      </c>
      <c r="F3" s="11" t="inlineStr">
        <is>
          <t>Methodology</t>
        </is>
      </c>
      <c r="G3" s="11" t="inlineStr">
        <is>
          <t>Control vs Treatment</t>
        </is>
      </c>
      <c r="H3" s="11" t="inlineStr">
        <is>
          <t>Primary Metric &amp; Target</t>
        </is>
      </c>
      <c r="I3" s="11" t="inlineStr">
        <is>
          <t>Secondary Metrics</t>
        </is>
      </c>
      <c r="J3" s="11" t="inlineStr">
        <is>
          <t>Trust &amp; Privacy Guardrails</t>
        </is>
      </c>
      <c r="K3" s="11" t="inlineStr">
        <is>
          <t>Required Resources</t>
        </is>
      </c>
      <c r="L3" s="11" t="inlineStr">
        <is>
          <t>Duration</t>
        </is>
      </c>
      <c r="M3" s="11" t="inlineStr">
        <is>
          <t>Decision Criteria</t>
        </is>
      </c>
    </row>
    <row r="4">
      <c r="A4" s="12" t="inlineStr">
        <is>
          <t>EXP-001</t>
        </is>
      </c>
      <c r="B4" s="12" t="inlineStr">
        <is>
          <t>Prospective-Learner Discovery Interviews (Problem Discovery &amp; Buyer Psychology)</t>
        </is>
      </c>
      <c r="C4" s="20" t="inlineStr">
        <is>
          <t>Proposed</t>
        </is>
      </c>
      <c r="D4" s="12" t="inlineStr">
        <is>
          <t>Prospective AI/data learners who are actively comparing programs can articulate at least three distinct unaddressed anxieties regarding hidden costs, credential validity, and realistic workload.</t>
        </is>
      </c>
      <c r="E4" s="12" t="inlineStr">
        <is>
          <t>Working professionals (2-8 years experience) in India/SE Asia currently researching or actively considering an AI/data upskilling program within the next 90 days (n=20).</t>
        </is>
      </c>
      <c r="F4" s="12" t="inlineStr">
        <is>
          <t>Semi-structured 30-minute qualitative video interviews using a neutral discovery protocol with zero sales pitching. Audio transcribed and coded for recurring friction themes.</t>
        </is>
      </c>
      <c r="G4" s="12" t="inlineStr">
        <is>
          <t>N/A (Exploratory qualitative inquiry). Balanced across non-technical switchers (n=10) and adjacent software engineers (n=10).</t>
        </is>
      </c>
      <c r="H4" s="12" t="inlineStr">
        <is>
          <t>Problem Resonance Rate: Percentage of interviewees who unprompted or strongly affirm that assessing hands-on skill fit before paying ₹2L+ is their single biggest anxiety (Target: ≥ 70%).</t>
        </is>
      </c>
      <c r="I4" s="12" t="inlineStr">
        <is>
          <t>• Average number of hidden cost/credential ambiguities cited per participant
• Willingness to spend 3-5 hours on a diagnostic trial project before enrolling (Target: ≥ 65%)
• Reported distrust score towards edtech sales phone calls (1-5 scale)</t>
        </is>
      </c>
      <c r="J4" s="12" t="inlineStr">
        <is>
          <t>• Informed consent obtained prior to recording
• Zero PII stored in public repositories or project documentation; anonymized IDs only
• No selling of any partner programs or advice during interviews</t>
        </is>
      </c>
      <c r="K4" s="12" t="inlineStr">
        <is>
          <t>Video conferencing tool, Calendly scheduling link, interview guide protocol, gift card incentive ($15 or ₹1,000 equivalent per completed session).</t>
        </is>
      </c>
      <c r="L4" s="12" t="inlineStr">
        <is>
          <t>2 Weeks (10 business days)</t>
        </is>
      </c>
      <c r="M4" s="12" t="inlineStr">
        <is>
          <t>Proceed if ≥ 14 of 20 participants (70%) identify pre-purchase skill-fit validation as a top-3 unmet need. If &lt; 50%, pivot positioning towards post-enrollment tutoring or career coaching.</t>
        </is>
      </c>
    </row>
    <row r="5">
      <c r="A5" s="16" t="inlineStr">
        <is>
          <t>EXP-002</t>
        </is>
      </c>
      <c r="B5" s="16" t="inlineStr">
        <is>
          <t>Diagnostic Prototype Usability Testing (Prototype Usability &amp; Cognitive Clarity)</t>
        </is>
      </c>
      <c r="C5" s="20" t="inlineStr">
        <is>
          <t>Proposed</t>
        </is>
      </c>
      <c r="D5" s="16" t="inlineStr">
        <is>
          <t>Prospective learners can complete the deterministic diagnostic in under 3 minutes without facilitator assistance and correctly interpret their mini-project, rubric, and provider questions.</t>
        </is>
      </c>
      <c r="E5" s="16" t="inlineStr">
        <is>
          <t>15 prospective learners representing all 4 target role tracks (Data Analyst, Data Engineer, AI Engineer, AI/Product Analyst).</t>
        </is>
      </c>
      <c r="F5" s="16" t="inlineStr">
        <is>
          <t>Moderated think-aloud usability sessions (n=10) followed by unmoderated screen-recorded task runs (n=15). Participants are asked to complete the diagnostic, explain what the output means, and review the checklist.</t>
        </is>
      </c>
      <c r="G5" s="16" t="inlineStr">
        <is>
          <t>N/A (Single-product usability test assessing task completion and comprehension).</t>
        </is>
      </c>
      <c r="H5" s="16" t="inlineStr">
        <is>
          <t>Unassisted Task Completion Rate: Percentage of participants who configure inputs, review recommendation, and expand rubric without navigational errors (Target: ≥ 85%).</t>
        </is>
      </c>
      <c r="I5" s="16" t="inlineStr">
        <is>
          <t>• Average time on task (Target: &lt; 180 seconds)
• Comprehension accuracy score of evaluation rubric and provider questions (Target: ≥ 80% correct recall)
• System Usability Scale (SUS) benchmark score (Target: ≥ 80 / 100)</t>
        </is>
      </c>
      <c r="J5" s="16" t="inlineStr">
        <is>
          <t>• No diagnostic input data saved or transmitted over the wire (pure local state verification)
• Clear explanation that results are advisory recommendations and do not certify job placement
• Observer does not intervene unless participant is blocked for &gt; 60 seconds</t>
        </is>
      </c>
      <c r="K5" s="16" t="inlineStr">
        <is>
          <t>Loom / OBS recording setup, prototype hosted on static URL, 5 standard user persona scenarios, standardized SUS survey form.</t>
        </is>
      </c>
      <c r="L5" s="16" t="inlineStr">
        <is>
          <t>1 Week (5 business days)</t>
        </is>
      </c>
      <c r="M5" s="16" t="inlineStr">
        <is>
          <t>Passes if unassisted completion is ≥ 85% and SUS score ≥ 80. If comprehension fails on the evaluation rubric, redesign output card with simpler tabular formatting before running public traffic.</t>
        </is>
      </c>
    </row>
    <row r="6">
      <c r="A6" s="12" t="inlineStr">
        <is>
          <t>EXP-003</t>
        </is>
      </c>
      <c r="B6" s="12" t="inlineStr">
        <is>
          <t>Curriculum-First vs. Proof-First Messaging A/B Test (GTM Positioning &amp; Landing Page Conversion)</t>
        </is>
      </c>
      <c r="C6" s="20" t="inlineStr">
        <is>
          <t>Proposed</t>
        </is>
      </c>
      <c r="D6" s="12" t="inlineStr">
        <is>
          <t>Positioning that highlights 'Proof Before Purchase: Test Your Real Project Fit' will generate a higher qualified consultation and diagnostic completion rate than standard 'Industry-Leading AI Curriculum' messaging.</t>
        </is>
      </c>
      <c r="E6" s="12" t="inlineStr">
        <is>
          <t>Organic and targeted LinkedIn/community visitors actively browsing data &amp; AI upskilling comparisons (minimum sample size: 500 unique visitors per variant).</t>
        </is>
      </c>
      <c r="F6" s="12" t="inlineStr">
        <is>
          <t>Split-traffic landing page experiment with identical visual layouts and identical comparison tools, varying only the hero value proposition and CTA framing.</t>
        </is>
      </c>
      <c r="G6" s="12" t="inlineStr">
        <is>
          <t>Control (Variant A): 'Master AI &amp; Data Science with Top University Programs' (Curriculum &amp; Credential-first CTA: 'Explore Programs'). Treatment (Variant B): 'Proof Before Purchase: Diagnose Your Role Fit &amp; Build a Free Test Project' (Proof-first CTA: 'Start 3-Min Free Diagnostic').</t>
        </is>
      </c>
      <c r="H6" s="12" t="inlineStr">
        <is>
          <t>Qualified Engagement Rate: Diagnostic Completions divided by Eligible Unique Landing Page Visitors (Target: Treatment achieves ≥ 25% relative lift over Control at p &lt; 0.05).</t>
        </is>
      </c>
      <c r="I6" s="12" t="inlineStr">
        <is>
          <t>• Bounce rate per variant
• Workbook download click rate
• Downstream provider outbound source link clicks per visitor</t>
        </is>
      </c>
      <c r="J6" s="12" t="inlineStr">
        <is>
          <t>• No deceptive dark patterns or countdown timers
• Deterministic local diagnostic experience on both variants
• Strict privacy-first analytics (privacy-preserving aggregate counts; zero cookies or IP harvesting)</t>
        </is>
      </c>
      <c r="K6" s="12" t="inlineStr">
        <is>
          <t>Static site deployment on Vercel with edge-split or clean A/B routing, organic social posts across tech communities (Reddit, LinkedIn, Twitter/X tech groups).</t>
        </is>
      </c>
      <c r="L6" s="12" t="inlineStr">
        <is>
          <t>2 Weeks (or until 500 unique visits per variant is reached)</t>
        </is>
      </c>
      <c r="M6" s="12" t="inlineStr">
        <is>
          <t>If Treatment out-converts Control with statistical confidence (p &lt; 0.05), adopt Proof-First positioning as standard baseline. If Control wins or no difference, refine the diagnostic teaser copy.</t>
        </is>
      </c>
    </row>
    <row r="7">
      <c r="A7" s="16" t="inlineStr">
        <is>
          <t>EXP-004</t>
        </is>
      </c>
      <c r="B7" s="16" t="inlineStr">
        <is>
          <t>Sample-Project Preview &amp; Rubric Engagement (Practical Engagement &amp; Self-Evaluation Utility)</t>
        </is>
      </c>
      <c r="C7" s="20" t="inlineStr">
        <is>
          <t>Proposed</t>
        </is>
      </c>
      <c r="D7" s="16" t="inlineStr">
        <is>
          <t>Learners who are provided with a concrete role-fit mini-project task and objective rubric will report higher decision confidence when evaluating whether to enroll in an expensive program.</t>
        </is>
      </c>
      <c r="E7" s="16" t="inlineStr">
        <is>
          <t>Users who complete the diagnostic and view their recommended mini-project (Target: 100 engaged users).</t>
        </is>
      </c>
      <c r="F7" s="16" t="inlineStr">
        <is>
          <t>In-page interactive task preview offering users the option to inspect sample code, download project templates, and review self-grading checklist. Follow-up 1-click feedback widget: 'Did this preview clarify the day-to-day work required?'</t>
        </is>
      </c>
      <c r="G7" s="16" t="inlineStr">
        <is>
          <t>Control: Static syllabus text listing module topics. Treatment: Interactive mini-project brief with architecture diagram, test dataset snippet, and 3-tier scoring rubric.</t>
        </is>
      </c>
      <c r="H7" s="16" t="inlineStr">
        <is>
          <t>Decision Clarity Lift: Self-reported rating on 'Confidence in knowing whether this role suits me' (Target: Treatment mean ≥ 4.2/5 vs Control mean ≤ 3.1/5).</t>
        </is>
      </c>
      <c r="I7" s="16" t="inlineStr">
        <is>
          <t>• Project brief download rate (Target: ≥ 30% of diagnostic completers)
• Time spent actively inspecting the rubric card (Target: &gt; 45 seconds)
• Provider questions checklist interaction rate</t>
        </is>
      </c>
      <c r="J7" s="16" t="inlineStr">
        <is>
          <t>• All sample project briefs use publicly accessible open datasets (e.g. NYC TLC, Kaggle Open, HuggingFace)
• Clear notice that self-evaluation does not substitute for formal accredited testing
• Zero telemetry tracking without explicit anonymous click action</t>
        </is>
      </c>
      <c r="K7" s="16" t="inlineStr">
        <is>
          <t>Pre-authored sample datasets, GitHub starter repositories for the 4 tracks, markdown project briefs.</t>
        </is>
      </c>
      <c r="L7" s="16" t="inlineStr">
        <is>
          <t>2 Weeks</t>
        </is>
      </c>
      <c r="M7" s="16" t="inlineStr">
        <is>
          <t>Adopt sample project previews permanently if Decision Clarity rating reaches ≥ 4.0/5 and download rate ≥ 25%. If &lt; 15%, simplify project scope to 30-minute interactive notebooks.</t>
        </is>
      </c>
    </row>
    <row r="8">
      <c r="A8" s="12" t="inlineStr">
        <is>
          <t>EXP-005</t>
        </is>
      </c>
      <c r="B8" s="12" t="inlineStr">
        <is>
          <t>Transparent Program-Comparison Experience Testing (Consumer Trust &amp; Decision Acceleration)</t>
        </is>
      </c>
      <c r="C8" s="20" t="inlineStr">
        <is>
          <t>Proposed</t>
        </is>
      </c>
      <c r="D8" s="12" t="inlineStr">
        <is>
          <t>Providing an unbiased, source-linked competitor comparison table with disclosed tax caveats and project realities accelerates prospective learners' ability to ask targeted questions to sales reps.</t>
        </is>
      </c>
      <c r="E8" s="12" t="inlineStr">
        <is>
          <t>Prospective students actively in dialogue with or evaluating at least two commercial programs (n=30).</t>
        </is>
      </c>
      <c r="F8" s="12" t="inlineStr">
        <is>
          <t>Users are provided with the interactive matrix and the downloadable audit workbook. A guided prompt tests whether they can successfully identify hidden costs and curriculum differences across upGrad, Simplilearn, and IIT Delhi.</t>
        </is>
      </c>
      <c r="G8" s="12" t="inlineStr">
        <is>
          <t>Control: Standard provider brochures and search engine queries. Treatment: Standardized Proof-Before-Purchase comparison table with verified evidence IDs, direct URLs, and GST warnings.</t>
        </is>
      </c>
      <c r="H8" s="12" t="inlineStr">
        <is>
          <t>Informed Decision Preparedness: Percentage of participants who state the tool revealed a material financial or structural caveat they were previously unaware of (Target: ≥ 75%).</t>
        </is>
      </c>
      <c r="I8" s="12" t="inlineStr">
        <is>
          <t>• Total workbook (.xlsx) downloads
• Click-through rate to official university partner accreditation pages
• Qualitative feedback on transparency and perceived bias (Target: 0 accusations of commercial promotion)</t>
        </is>
      </c>
      <c r="J8" s="12" t="inlineStr">
        <is>
          <t>• All claims must cite verifiable public URLs and access dates
• Equal visual weighting across all 5 providers (no 'Featured' or 'Sponsored' badges)
• Explicit statement that matrix is an educational research tool and does not provide financial or legal advice</t>
        </is>
      </c>
      <c r="K8" s="12" t="inlineStr">
        <is>
          <t>Interactive matrix UI, downloadable competitor_matrix.xlsx, post-interaction feedback questionnaire.</t>
        </is>
      </c>
      <c r="L8" s="12" t="inlineStr">
        <is>
          <t>2 Weeks</t>
        </is>
      </c>
      <c r="M8" s="12" t="inlineStr">
        <is>
          <t>If ≥ 75% report discovering unadvertised terms and 0 bias complaints occur, publish the matrix openly as a portfolio artifact and open-source benchmark tool.</t>
        </is>
      </c>
    </row>
  </sheetData>
  <autoFilter ref="A3:M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showGridLines="1" workbookViewId="0">
      <pane ySplit="3" topLeftCell="A4" activePane="bottomLeft" state="frozen"/>
      <selection pane="bottomLeft" activeCell="A1" sqref="A1"/>
    </sheetView>
  </sheetViews>
  <sheetFormatPr baseColWidth="8" defaultRowHeight="15"/>
  <cols>
    <col width="12" customWidth="1" min="1" max="1"/>
    <col width="40" customWidth="1" min="2" max="2"/>
    <col width="22" customWidth="1" min="3" max="3"/>
    <col width="22" customWidth="1" min="4" max="4"/>
    <col width="20" customWidth="1" min="5" max="5"/>
    <col width="37" customWidth="1" min="6" max="6"/>
    <col width="48" customWidth="1" min="7" max="7"/>
    <col width="22" customWidth="1" min="8" max="8"/>
  </cols>
  <sheetData>
    <row r="1">
      <c r="A1" s="1" t="inlineStr">
        <is>
          <t>DEVELOPMENT &amp; VALIDATION AUDIT LOG</t>
        </is>
      </c>
    </row>
    <row r="2">
      <c r="A2" s="2" t="inlineStr">
        <is>
          <t>Auditable task records with start/end timestamps and verification statuses.</t>
        </is>
      </c>
    </row>
    <row r="3">
      <c r="A3" s="11" t="inlineStr">
        <is>
          <t>Task ID</t>
        </is>
      </c>
      <c r="B3" s="11" t="inlineStr">
        <is>
          <t>Task Name</t>
        </is>
      </c>
      <c r="C3" s="11" t="inlineStr">
        <is>
          <t>Start Time</t>
        </is>
      </c>
      <c r="D3" s="11" t="inlineStr">
        <is>
          <t>End Time</t>
        </is>
      </c>
      <c r="E3" s="11" t="inlineStr">
        <is>
          <t>Measured Duration</t>
        </is>
      </c>
      <c r="F3" s="11" t="inlineStr">
        <is>
          <t>AI / Tool Acceleration</t>
        </is>
      </c>
      <c r="G3" s="11" t="inlineStr">
        <is>
          <t>Output Created</t>
        </is>
      </c>
      <c r="H3" s="11" t="inlineStr">
        <is>
          <t>Verification Status</t>
        </is>
      </c>
    </row>
    <row r="4">
      <c r="A4" s="21" t="inlineStr">
        <is>
          <t>TASK-001</t>
        </is>
      </c>
      <c r="B4" s="22" t="inlineStr">
        <is>
          <t>Workspace Inspection &amp; Git Init</t>
        </is>
      </c>
      <c r="C4" s="22" t="inlineStr">
        <is>
          <t>2026-10-22 14:02:40</t>
        </is>
      </c>
      <c r="D4" s="22" t="inlineStr">
        <is>
          <t>2026-10-22 14:05:10</t>
        </is>
      </c>
      <c r="E4" s="21" t="inlineStr">
        <is>
          <t>2m 30s</t>
        </is>
      </c>
      <c r="F4" s="22" t="inlineStr">
        <is>
          <t>PowerShell, Git CLI</t>
        </is>
      </c>
      <c r="G4" s="22" t="inlineStr">
        <is>
          <t>Git repository initialized, directories created</t>
        </is>
      </c>
      <c r="H4" s="21" t="inlineStr">
        <is>
          <t>Verified</t>
        </is>
      </c>
    </row>
    <row r="5">
      <c r="A5" s="23" t="inlineStr">
        <is>
          <t>TASK-002</t>
        </is>
      </c>
      <c r="B5" s="24" t="inlineStr">
        <is>
          <t>Competitor Research &amp; Data Extraction</t>
        </is>
      </c>
      <c r="C5" s="24" t="inlineStr">
        <is>
          <t>2026-10-22 14:05:10</t>
        </is>
      </c>
      <c r="D5" s="24" t="inlineStr">
        <is>
          <t>2026-10-22 14:08:20</t>
        </is>
      </c>
      <c r="E5" s="23" t="inlineStr">
        <is>
          <t>3m 10s</t>
        </is>
      </c>
      <c r="F5" s="24" t="inlineStr">
        <is>
          <t>Web Search, Gemini Engine</t>
        </is>
      </c>
      <c r="G5" s="24" t="inlineStr">
        <is>
          <t>data/competitor_programs.json</t>
        </is>
      </c>
      <c r="H5" s="23" t="inlineStr">
        <is>
          <t>Verified</t>
        </is>
      </c>
    </row>
    <row r="6">
      <c r="A6" s="21" t="inlineStr">
        <is>
          <t>TASK-003</t>
        </is>
      </c>
      <c r="B6" s="22" t="inlineStr">
        <is>
          <t>Evidence Ledger &amp; Source Log Creation</t>
        </is>
      </c>
      <c r="C6" s="22" t="inlineStr">
        <is>
          <t>2026-10-22 14:08:20</t>
        </is>
      </c>
      <c r="D6" s="22" t="inlineStr">
        <is>
          <t>2026-10-22 14:11:30</t>
        </is>
      </c>
      <c r="E6" s="21" t="inlineStr">
        <is>
          <t>3m 10s</t>
        </is>
      </c>
      <c r="F6" s="22" t="inlineStr">
        <is>
          <t>CSV Formatter, Audit Checker</t>
        </is>
      </c>
      <c r="G6" s="22" t="inlineStr">
        <is>
          <t>research/source_log.csv, data/insights.json</t>
        </is>
      </c>
      <c r="H6" s="21" t="inlineStr">
        <is>
          <t>Verified</t>
        </is>
      </c>
    </row>
    <row r="7">
      <c r="A7" s="23" t="inlineStr">
        <is>
          <t>TASK-004</t>
        </is>
      </c>
      <c r="B7" s="24" t="inlineStr">
        <is>
          <t>GTM Experiments &amp; Diagnostic Rules</t>
        </is>
      </c>
      <c r="C7" s="24" t="inlineStr">
        <is>
          <t>2026-10-22 14:11:30</t>
        </is>
      </c>
      <c r="D7" s="24" t="inlineStr">
        <is>
          <t>2026-10-22 14:14:00</t>
        </is>
      </c>
      <c r="E7" s="23" t="inlineStr">
        <is>
          <t>2m 30s</t>
        </is>
      </c>
      <c r="F7" s="24" t="inlineStr">
        <is>
          <t>Product Logic Generator</t>
        </is>
      </c>
      <c r="G7" s="24" t="inlineStr">
        <is>
          <t>data/gtm_experiments.json, diagnostic_rules.json</t>
        </is>
      </c>
      <c r="H7" s="23" t="inlineStr">
        <is>
          <t>Verified</t>
        </is>
      </c>
    </row>
    <row r="8">
      <c r="A8" s="21" t="inlineStr">
        <is>
          <t>TASK-005</t>
        </is>
      </c>
      <c r="B8" s="22" t="inlineStr">
        <is>
          <t>Audited Excel Workbook Automation</t>
        </is>
      </c>
      <c r="C8" s="22" t="inlineStr">
        <is>
          <t>2026-10-22 14:14:00</t>
        </is>
      </c>
      <c r="D8" s="22" t="inlineStr">
        <is>
          <t>2026-10-22 14:16:30</t>
        </is>
      </c>
      <c r="E8" s="21" t="inlineStr">
        <is>
          <t>2m 30s</t>
        </is>
      </c>
      <c r="F8" s="22" t="inlineStr">
        <is>
          <t>openpyxl, Python 3.13</t>
        </is>
      </c>
      <c r="G8" s="22" t="inlineStr">
        <is>
          <t>research/competitor_matrix.xlsx</t>
        </is>
      </c>
      <c r="H8" s="21" t="inlineStr">
        <is>
          <t>Verified</t>
        </is>
      </c>
    </row>
    <row r="9">
      <c r="A9" s="23" t="inlineStr">
        <is>
          <t>TASK-006</t>
        </is>
      </c>
      <c r="B9" s="24" t="inlineStr">
        <is>
          <t>Deterministic Diagnostic Engine &amp; UI</t>
        </is>
      </c>
      <c r="C9" s="24" t="inlineStr">
        <is>
          <t>2026-10-22 14:16:30</t>
        </is>
      </c>
      <c r="D9" s="24" t="inlineStr">
        <is>
          <t>2026-10-22 14:24:00</t>
        </is>
      </c>
      <c r="E9" s="23" t="inlineStr">
        <is>
          <t>7m 30s</t>
        </is>
      </c>
      <c r="F9" s="24" t="inlineStr">
        <is>
          <t>HTML5, Vanilla CSS, JS Modules</t>
        </is>
      </c>
      <c r="G9" s="24" t="inlineStr">
        <is>
          <t>index.html, styles.css, app.js, rules.js</t>
        </is>
      </c>
      <c r="H9" s="23" t="inlineStr">
        <is>
          <t>Verified</t>
        </is>
      </c>
    </row>
    <row r="10">
      <c r="A10" s="21" t="inlineStr">
        <is>
          <t>TASK-007</t>
        </is>
      </c>
      <c r="B10" s="22" t="inlineStr">
        <is>
          <t>Automated Validation &amp; Unit Tests</t>
        </is>
      </c>
      <c r="C10" s="22" t="inlineStr">
        <is>
          <t>2026-10-22 14:24:00</t>
        </is>
      </c>
      <c r="D10" s="22" t="inlineStr">
        <is>
          <t>2026-10-22 14:28:00</t>
        </is>
      </c>
      <c r="E10" s="21" t="inlineStr">
        <is>
          <t>4m 00s</t>
        </is>
      </c>
      <c r="F10" s="22" t="inlineStr">
        <is>
          <t>Node.js assert, Python test runner</t>
        </is>
      </c>
      <c r="G10" s="22" t="inlineStr">
        <is>
          <t>scripts/validate_research_data.py, run_tests.js</t>
        </is>
      </c>
      <c r="H10" s="21" t="inlineStr">
        <is>
          <t>Verified</t>
        </is>
      </c>
    </row>
    <row r="11">
      <c r="A11" s="23" t="inlineStr">
        <is>
          <t>TASK-008</t>
        </is>
      </c>
      <c r="B11" s="24" t="inlineStr">
        <is>
          <t>Documentation, Status &amp; Packaging</t>
        </is>
      </c>
      <c r="C11" s="24" t="inlineStr">
        <is>
          <t>2026-10-22 14:28:00</t>
        </is>
      </c>
      <c r="D11" s="24" t="inlineStr">
        <is>
          <t>2026-10-22 14:32:00</t>
        </is>
      </c>
      <c r="E11" s="23" t="inlineStr">
        <is>
          <t>4m 00s</t>
        </is>
      </c>
      <c r="F11" s="24" t="inlineStr">
        <is>
          <t>Markdown Generator</t>
        </is>
      </c>
      <c r="G11" s="24" t="inlineStr">
        <is>
          <t>README.md, PROJECT_STATUS.md, docs/*</t>
        </is>
      </c>
      <c r="H11" s="23" t="inlineStr">
        <is>
          <t>Verified</t>
        </is>
      </c>
    </row>
  </sheetData>
  <autoFilter ref="A3: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2026-10-22T09:03:01Z</dcterms:created>
  <dcterms:modified xmlns:dcterms="http://purl.org/dc/terms/" xmlns:xsi="http://www.w3.org/2001/XMLSchema-instance" xsi:type="dcterms:W3CDTF">2026-10-22T09:03:01Z</dcterms:modified>
</cp:coreProperties>
</file>